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076" documentId="11_E77B014E2B63B72166BC8D007F338EF02C73F518" xr6:coauthVersionLast="47" xr6:coauthVersionMax="47" xr10:uidLastSave="{AE4AC22A-606B-490B-9872-109F86250412}"/>
  <bookViews>
    <workbookView xWindow="240" yWindow="105" windowWidth="14805" windowHeight="8010" firstSheet="1" activeTab="1" xr2:uid="{00000000-000D-0000-FFFF-FFFF00000000}"/>
  </bookViews>
  <sheets>
    <sheet name="EventLog" sheetId="2" r:id="rId1"/>
    <sheet name="Params" sheetId="4" r:id="rId2"/>
    <sheet name="RefLists" sheetId="3" r:id="rId3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<sst xmlns="http://schemas.openxmlformats.org/spreadsheetml/2006/main" count="313" uniqueCount="159">
  <si>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</si>
  <si>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</si>
  <si>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</si>
  <si>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</si>
  <si>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</si>
  <si>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</si>
  <si>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</si>
  <si>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</si>
  <si>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</si>
  <si>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</si>
  <si>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</si>
  <si>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</si>
  <si>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</si>
  <si>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</si>
  <si>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</si>
  <si>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</si>
  <si>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</si>
  <si>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Build Nadina Spawning Channel WX</t>
  </si>
  <si>
    <t>02FW003-2024-001</t>
  </si>
  <si>
    <t>NULL</t>
  </si>
  <si>
    <t>V</t>
  </si>
  <si>
    <t>02FW003_FieldReport_20240627.pdf</t>
  </si>
  <si>
    <t>Script Change</t>
  </si>
  <si>
    <t>Intital script</t>
  </si>
  <si>
    <t>02FW003-CR350-6269-001</t>
  </si>
  <si>
    <t>CR350</t>
  </si>
  <si>
    <t>Campbell Scientific</t>
  </si>
  <si>
    <t>NHG0329</t>
  </si>
  <si>
    <t>LR</t>
  </si>
  <si>
    <t>02FW003_CR350_6269_20240627</t>
  </si>
  <si>
    <t>Equip Deploy</t>
  </si>
  <si>
    <t>Deployed Net Radiometer</t>
  </si>
  <si>
    <t>SN-500</t>
  </si>
  <si>
    <t>Apogee</t>
  </si>
  <si>
    <t>NHG0333</t>
  </si>
  <si>
    <t>Deployed Snow Depth Sensor</t>
  </si>
  <si>
    <t>SR50AT</t>
  </si>
  <si>
    <t>NHG0332</t>
  </si>
  <si>
    <t>Deployed ClimaVue50</t>
  </si>
  <si>
    <t>ClimaVue50</t>
  </si>
  <si>
    <t>VUE-500004272</t>
  </si>
  <si>
    <t>NHG0328</t>
  </si>
  <si>
    <t>Deployed Data logger</t>
  </si>
  <si>
    <t>Deployed battery</t>
  </si>
  <si>
    <t>12V 12AH</t>
  </si>
  <si>
    <t>Canadian Tire</t>
  </si>
  <si>
    <t>NHG0327</t>
  </si>
  <si>
    <t>Deployed T109 air</t>
  </si>
  <si>
    <t>T109</t>
  </si>
  <si>
    <t>C4531</t>
  </si>
  <si>
    <t>NHG0330</t>
  </si>
  <si>
    <t>Deployed T109 soil</t>
  </si>
  <si>
    <t>C4532</t>
  </si>
  <si>
    <t>NHG0331</t>
  </si>
  <si>
    <t>Data download and addition of T109 water</t>
  </si>
  <si>
    <t>02FW003-2025-001</t>
  </si>
  <si>
    <t>02FW003_FieldReport_20250724.pdf</t>
  </si>
  <si>
    <t>Deployed T109 water</t>
  </si>
  <si>
    <t>NHG0364</t>
  </si>
  <si>
    <t>Data Download</t>
  </si>
  <si>
    <t>Downloaded data</t>
  </si>
  <si>
    <t>02FW003-2025-002</t>
  </si>
  <si>
    <t>C</t>
  </si>
  <si>
    <t>02FW003_raw_CR350_6269_20250724</t>
  </si>
  <si>
    <t>Radiometer died fall 2024 and T109 temperature sensors were disconnected.</t>
  </si>
  <si>
    <t>Code Change</t>
  </si>
  <si>
    <t>02FW003-CR350-6269-002</t>
  </si>
  <si>
    <t>02FW003_CR350_6269_20240724</t>
  </si>
  <si>
    <t>No script file in teams</t>
  </si>
  <si>
    <t>Data download and retrival of net radiometer</t>
  </si>
  <si>
    <t>02FW003_FieldReport_20250820.pdf</t>
  </si>
  <si>
    <t>Cleared ground under SR50-AT</t>
  </si>
  <si>
    <t>downloaded data</t>
  </si>
  <si>
    <t>02FW003-2025-003</t>
  </si>
  <si>
    <t>02FW003_raw_CR350_6269_20250820</t>
  </si>
  <si>
    <t>Equip Decom</t>
  </si>
  <si>
    <t>decommed net rad due to not working</t>
  </si>
  <si>
    <t>giving us still NANs (noticed during visit in July), possibly sensor broken</t>
  </si>
  <si>
    <t>Likely that ne rad data isn't the best as it was removed due to malfunction</t>
  </si>
  <si>
    <t>Header</t>
  </si>
  <si>
    <t>Parameter</t>
  </si>
  <si>
    <t>Sensor model</t>
  </si>
  <si>
    <t>Height/Depth</t>
  </si>
  <si>
    <t>TIMESTAMP</t>
  </si>
  <si>
    <t>timestamp</t>
  </si>
  <si>
    <t>RECORD</t>
  </si>
  <si>
    <t>record</t>
  </si>
  <si>
    <t>BattV_Avg</t>
  </si>
  <si>
    <t>battv</t>
  </si>
  <si>
    <t>PTemp_C_Avg</t>
  </si>
  <si>
    <t>ptmp</t>
  </si>
  <si>
    <t>TCDT_Avg</t>
  </si>
  <si>
    <t>tcdt</t>
  </si>
  <si>
    <t>Q_Avg</t>
  </si>
  <si>
    <t>q</t>
  </si>
  <si>
    <t>SR50_AirTemp_266cm_C_Avg</t>
  </si>
  <si>
    <t>srtmp</t>
  </si>
  <si>
    <t>SnowDepth_Avg</t>
  </si>
  <si>
    <t>snow</t>
  </si>
  <si>
    <t>SlrFD_W_Avg</t>
  </si>
  <si>
    <t>slr_fd</t>
  </si>
  <si>
    <t>Rain_mm_Tot</t>
  </si>
  <si>
    <t>precip</t>
  </si>
  <si>
    <t>Strikes_Tot</t>
  </si>
  <si>
    <t>strikes</t>
  </si>
  <si>
    <t>Dist_km_Avg</t>
  </si>
  <si>
    <t>strik_dist</t>
  </si>
  <si>
    <t>WS_ms_S_WVT</t>
  </si>
  <si>
    <t>winds</t>
  </si>
  <si>
    <t>WindDir_D1_WVT</t>
  </si>
  <si>
    <t>wind_dir</t>
  </si>
  <si>
    <t>WindDir_SD1_WVT</t>
  </si>
  <si>
    <t>wind_dir_sd</t>
  </si>
  <si>
    <t>MaxWS_ms_Max</t>
  </si>
  <si>
    <t>wind_max</t>
  </si>
  <si>
    <t>MaxWS_ms_TMx</t>
  </si>
  <si>
    <t>wind_max_time</t>
  </si>
  <si>
    <t>CV_AirTemp_C_Avg</t>
  </si>
  <si>
    <t>atmp_2m</t>
  </si>
  <si>
    <t>VP_mbar_Avg</t>
  </si>
  <si>
    <t>vp</t>
  </si>
  <si>
    <t>BP_mbar_Avg</t>
  </si>
  <si>
    <t>bp</t>
  </si>
  <si>
    <t>RH</t>
  </si>
  <si>
    <t>rh</t>
  </si>
  <si>
    <t>RHT_C_Avg</t>
  </si>
  <si>
    <t>rh_temp</t>
  </si>
  <si>
    <t>TiltNS_deg_Avg</t>
  </si>
  <si>
    <t>tilt_ns</t>
  </si>
  <si>
    <t>TiltWE_deg_Avg</t>
  </si>
  <si>
    <t>tilt_we</t>
  </si>
  <si>
    <t>SlrTF_MJ_Tot</t>
  </si>
  <si>
    <t>slr_tf</t>
  </si>
  <si>
    <t>Air_T109_45cm_C_Avg</t>
  </si>
  <si>
    <t>atmp</t>
  </si>
  <si>
    <t>Soil_T109_15cm_C_Avg</t>
  </si>
  <si>
    <t>gtmp</t>
  </si>
  <si>
    <t>WTMP_50_Avg</t>
  </si>
  <si>
    <t>wtmp</t>
  </si>
  <si>
    <t>SWin_Avg</t>
  </si>
  <si>
    <t>sw_in</t>
  </si>
  <si>
    <t>SWout_Avg</t>
  </si>
  <si>
    <t>sw_out</t>
  </si>
  <si>
    <t>LWin_Avg</t>
  </si>
  <si>
    <t>lw_in</t>
  </si>
  <si>
    <t>LWout_Avg</t>
  </si>
  <si>
    <t>lw_out</t>
  </si>
  <si>
    <t>SWnet_Avg</t>
  </si>
  <si>
    <t>sw_net</t>
  </si>
  <si>
    <t>LWnet_Avg</t>
  </si>
  <si>
    <t>lw_net</t>
  </si>
  <si>
    <t>SWalbedo_Avg</t>
  </si>
  <si>
    <t>albedo</t>
  </si>
  <si>
    <t>Net_Rad_Avg</t>
  </si>
  <si>
    <t>rad_net</t>
  </si>
  <si>
    <t>Event_Type</t>
  </si>
  <si>
    <t>E</t>
  </si>
  <si>
    <t>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</si>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</sst>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  <alignment horizontal="left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33" headerRowDxfId="18" dataDxfId="17" totalsRowDxfId="16">
  <autoFilter ref="A1:P33" xr:uid="{1CEA3918-39C1-46F2-9B94-11A338315F53}"/>
  <tableColumns count="16">
    <tableColumn id="1" xr3:uid="{C89D4A07-175D-40ED-BADE-FDC52A2F5FC6}" name="Date" totalsRowLabel="Total" dataDxfId="15"/>
    <tableColumn id="11" xr3:uid="{FE21E0CF-09D9-44DA-A98E-15F8CAC8C512}" name="Event_type" dataDxfId="14"/>
    <tableColumn id="2" xr3:uid="{1B073648-7E83-49EB-A567-19B1266C7726}" name="Time-in" dataDxfId="13"/>
    <tableColumn id="3" xr3:uid="{AB596B7F-7244-4D43-B709-2A6D7C4D7D6D}" name="Time-out" dataDxfId="12"/>
    <tableColumn id="4" xr3:uid="{05B68EF7-8682-4A03-903B-D17AE8697E96}" name="Description" dataDxfId="11"/>
    <tableColumn id="16" xr3:uid="{092CAD2F-A1C8-407B-B42C-D4DB8F82ECA2}" name="Data/Visit/Script_ID" dataDxfId="10"/>
    <tableColumn id="5" xr3:uid="{8CFBE638-4CAD-4DFA-B4D5-6B07DD22AB3D}" name="Equip_model" dataDxfId="9"/>
    <tableColumn id="14" xr3:uid="{12640F12-A418-46ED-971C-E7640EA95892}" name="Equip_Manu" dataDxfId="8"/>
    <tableColumn id="6" xr3:uid="{46B2005F-03C4-45F1-AD05-AD427816B75B}" name="Equip_serial" dataDxfId="7"/>
    <tableColumn id="15" xr3:uid="{A6C40A16-2AD9-4001-880D-FB2449EDCC6A}" name="Equip_code" dataDxfId="6"/>
    <tableColumn id="12" xr3:uid="{17C5ABA7-16EF-4E0E-83DE-AAE8286AFE1D}" name="Equip_asset" dataDxfId="5"/>
    <tableColumn id="7" xr3:uid="{F0297DF9-0249-431D-9D94-F0BBF0002B31}" name="Heigh_depth_cm" dataDxfId="4"/>
    <tableColumn id="13" xr3:uid="{AA035BF0-6899-43FD-8B44-C66BE8950EB0}" name="Flags" dataDxfId="3"/>
    <tableColumn id="8" xr3:uid="{0200FCEB-D83C-4FDD-AA03-AD70FA7994FC}" name="File_name" dataDxfId="2"/>
    <tableColumn id="10" xr3:uid="{2F27A98A-BC1E-4029-93DA-DB15AE693F70}" name="Field_Notes" dataDxfId="1"/>
    <tableColumn id="9" xr3:uid="{2983CF0A-92B5-4A2A-9DA0-B4CF6DFB1A86}" name="QC_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33"/>
  <sheetViews>
    <sheetView workbookViewId="0">
      <selection activeCell="L5" sqref="L5"/>
    </sheetView>
  </sheetViews>
  <sheetFormatPr defaultRowHeight="15"/>
  <cols>
    <col min="1" max="1" width="12.5703125" style="1" bestFit="1" customWidth="1"/>
    <col min="2" max="2" width="14.7109375" bestFit="1" customWidth="1"/>
    <col min="3" max="3" width="10.140625" style="2" bestFit="1" customWidth="1"/>
    <col min="4" max="4" width="11.5703125" style="2" bestFit="1" customWidth="1"/>
    <col min="5" max="5" width="44.140625" bestFit="1" customWidth="1"/>
    <col min="6" max="6" width="32" bestFit="1" customWidth="1"/>
    <col min="7" max="7" width="22.5703125" style="3" bestFit="1" customWidth="1"/>
    <col min="8" max="8" width="18" style="3" bestFit="1" customWidth="1"/>
    <col min="9" max="9" width="15.28515625" style="3" bestFit="1" customWidth="1"/>
    <col min="10" max="11" width="14.28515625" style="3" customWidth="1"/>
    <col min="12" max="12" width="18.7109375" style="3" bestFit="1" customWidth="1"/>
    <col min="13" max="13" width="7.85546875" style="3" bestFit="1" customWidth="1"/>
    <col min="14" max="14" width="46.140625" style="4" customWidth="1"/>
    <col min="15" max="15" width="28.42578125" bestFit="1" customWidth="1"/>
    <col min="16" max="16" width="58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t="s">
        <v>14</v>
      </c>
      <c r="P1" t="s">
        <v>15</v>
      </c>
    </row>
    <row r="2" spans="1:16">
      <c r="A2">
        <v>20240627</v>
      </c>
      <c r="B2" t="s">
        <v>16</v>
      </c>
      <c r="C2" s="5">
        <v>0.39027777777777778</v>
      </c>
      <c r="D2" s="5">
        <v>0.53611111111111109</v>
      </c>
      <c r="E2" t="s">
        <v>17</v>
      </c>
      <c r="F2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20</v>
      </c>
      <c r="N2" s="4" t="s">
        <v>21</v>
      </c>
    </row>
    <row r="3" spans="1:16">
      <c r="A3">
        <v>20240627</v>
      </c>
      <c r="B3" t="s">
        <v>22</v>
      </c>
      <c r="C3" t="s">
        <v>19</v>
      </c>
      <c r="D3" t="s">
        <v>19</v>
      </c>
      <c r="E3" t="s">
        <v>23</v>
      </c>
      <c r="F3" t="s">
        <v>24</v>
      </c>
      <c r="G3" s="3" t="s">
        <v>25</v>
      </c>
      <c r="H3" s="3" t="s">
        <v>26</v>
      </c>
      <c r="I3" s="3">
        <v>6269</v>
      </c>
      <c r="J3" s="3" t="s">
        <v>27</v>
      </c>
      <c r="K3" s="3">
        <v>-9999</v>
      </c>
      <c r="L3" s="3">
        <v>150</v>
      </c>
      <c r="M3" s="3" t="s">
        <v>28</v>
      </c>
      <c r="N3" s="6" t="s">
        <v>29</v>
      </c>
    </row>
    <row r="4" spans="1:16">
      <c r="A4">
        <v>20240627</v>
      </c>
      <c r="B4" t="s">
        <v>30</v>
      </c>
      <c r="C4" t="s">
        <v>19</v>
      </c>
      <c r="D4" t="s">
        <v>19</v>
      </c>
      <c r="E4" t="s">
        <v>31</v>
      </c>
      <c r="F4" t="s">
        <v>19</v>
      </c>
      <c r="G4" s="3" t="s">
        <v>32</v>
      </c>
      <c r="H4" s="3" t="s">
        <v>33</v>
      </c>
      <c r="I4" s="3">
        <v>2437</v>
      </c>
      <c r="J4" s="3" t="s">
        <v>34</v>
      </c>
      <c r="K4" s="3">
        <v>-9999</v>
      </c>
      <c r="L4" s="3">
        <v>256</v>
      </c>
      <c r="M4" s="3" t="s">
        <v>19</v>
      </c>
      <c r="N4" s="4" t="s">
        <v>21</v>
      </c>
    </row>
    <row r="5" spans="1:16">
      <c r="A5">
        <v>20240627</v>
      </c>
      <c r="B5" t="s">
        <v>30</v>
      </c>
      <c r="C5" t="s">
        <v>19</v>
      </c>
      <c r="D5" t="s">
        <v>19</v>
      </c>
      <c r="E5" t="s">
        <v>35</v>
      </c>
      <c r="F5" t="s">
        <v>19</v>
      </c>
      <c r="G5" s="3" t="s">
        <v>36</v>
      </c>
      <c r="H5" s="3" t="s">
        <v>26</v>
      </c>
      <c r="I5" s="3">
        <v>15875</v>
      </c>
      <c r="J5" s="3" t="s">
        <v>37</v>
      </c>
      <c r="K5" s="3">
        <v>-9999</v>
      </c>
      <c r="L5" s="3">
        <v>246</v>
      </c>
      <c r="M5" s="3" t="s">
        <v>19</v>
      </c>
      <c r="N5" s="4" t="s">
        <v>21</v>
      </c>
    </row>
    <row r="6" spans="1:16">
      <c r="A6">
        <v>20240627</v>
      </c>
      <c r="B6" t="s">
        <v>30</v>
      </c>
      <c r="C6" t="s">
        <v>19</v>
      </c>
      <c r="D6" t="s">
        <v>19</v>
      </c>
      <c r="E6" t="s">
        <v>38</v>
      </c>
      <c r="F6" t="s">
        <v>19</v>
      </c>
      <c r="G6" s="3" t="s">
        <v>39</v>
      </c>
      <c r="H6" s="3" t="s">
        <v>26</v>
      </c>
      <c r="I6" s="3" t="s">
        <v>40</v>
      </c>
      <c r="J6" s="3" t="s">
        <v>41</v>
      </c>
      <c r="K6" s="3">
        <v>-9999</v>
      </c>
      <c r="L6" s="3">
        <v>268</v>
      </c>
      <c r="M6" s="3" t="s">
        <v>19</v>
      </c>
      <c r="N6" s="4" t="s">
        <v>21</v>
      </c>
    </row>
    <row r="7" spans="1:16">
      <c r="A7">
        <v>20240627</v>
      </c>
      <c r="B7" t="s">
        <v>30</v>
      </c>
      <c r="C7" t="s">
        <v>19</v>
      </c>
      <c r="D7" t="s">
        <v>19</v>
      </c>
      <c r="E7" t="s">
        <v>42</v>
      </c>
      <c r="F7" t="s">
        <v>19</v>
      </c>
      <c r="G7" s="3" t="s">
        <v>25</v>
      </c>
      <c r="H7" s="3" t="s">
        <v>26</v>
      </c>
      <c r="I7" s="3">
        <v>6269</v>
      </c>
      <c r="J7" s="3" t="s">
        <v>27</v>
      </c>
      <c r="K7" s="3">
        <v>-9999</v>
      </c>
      <c r="L7" s="3">
        <v>150</v>
      </c>
      <c r="M7" s="3" t="s">
        <v>19</v>
      </c>
      <c r="N7" s="4" t="s">
        <v>21</v>
      </c>
    </row>
    <row r="8" spans="1:16">
      <c r="A8">
        <v>20240627</v>
      </c>
      <c r="B8" t="s">
        <v>30</v>
      </c>
      <c r="C8" t="s">
        <v>19</v>
      </c>
      <c r="D8" t="s">
        <v>19</v>
      </c>
      <c r="E8" t="s">
        <v>43</v>
      </c>
      <c r="F8" t="s">
        <v>19</v>
      </c>
      <c r="G8" s="3" t="s">
        <v>44</v>
      </c>
      <c r="H8" s="3" t="s">
        <v>45</v>
      </c>
      <c r="I8" s="3">
        <v>-9999</v>
      </c>
      <c r="J8" s="3" t="s">
        <v>46</v>
      </c>
      <c r="K8" s="3">
        <v>-9999</v>
      </c>
      <c r="L8" s="3">
        <v>125</v>
      </c>
      <c r="M8" s="3" t="s">
        <v>19</v>
      </c>
      <c r="N8" s="4" t="s">
        <v>21</v>
      </c>
    </row>
    <row r="9" spans="1:16">
      <c r="A9">
        <v>20240627</v>
      </c>
      <c r="B9" t="s">
        <v>30</v>
      </c>
      <c r="C9" t="s">
        <v>19</v>
      </c>
      <c r="D9" t="s">
        <v>19</v>
      </c>
      <c r="E9" t="s">
        <v>47</v>
      </c>
      <c r="F9" t="s">
        <v>19</v>
      </c>
      <c r="G9" s="3" t="s">
        <v>48</v>
      </c>
      <c r="H9" s="3" t="s">
        <v>26</v>
      </c>
      <c r="I9" s="3" t="s">
        <v>49</v>
      </c>
      <c r="J9" s="3" t="s">
        <v>50</v>
      </c>
      <c r="K9" s="3">
        <v>-9999</v>
      </c>
      <c r="L9" s="3">
        <v>45</v>
      </c>
      <c r="M9" s="3" t="s">
        <v>19</v>
      </c>
      <c r="N9" s="4" t="s">
        <v>21</v>
      </c>
    </row>
    <row r="10" spans="1:16">
      <c r="A10">
        <v>20240627</v>
      </c>
      <c r="B10" t="s">
        <v>30</v>
      </c>
      <c r="C10" t="s">
        <v>19</v>
      </c>
      <c r="D10" t="s">
        <v>19</v>
      </c>
      <c r="E10" t="s">
        <v>51</v>
      </c>
      <c r="F10" t="s">
        <v>19</v>
      </c>
      <c r="G10" s="3" t="s">
        <v>48</v>
      </c>
      <c r="H10" s="3" t="s">
        <v>26</v>
      </c>
      <c r="I10" s="3" t="s">
        <v>52</v>
      </c>
      <c r="J10" s="3" t="s">
        <v>53</v>
      </c>
      <c r="K10" s="3">
        <v>-9999</v>
      </c>
      <c r="L10" s="3">
        <v>-15</v>
      </c>
      <c r="M10" s="3" t="s">
        <v>19</v>
      </c>
      <c r="N10" s="4" t="s">
        <v>21</v>
      </c>
    </row>
    <row r="11" spans="1:16">
      <c r="A11">
        <v>20250724</v>
      </c>
      <c r="B11" t="s">
        <v>16</v>
      </c>
      <c r="C11" s="5">
        <v>0.48749999999999999</v>
      </c>
      <c r="D11" s="5">
        <v>0.5708333333333333</v>
      </c>
      <c r="E11" t="s">
        <v>54</v>
      </c>
      <c r="F11" t="s">
        <v>55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20</v>
      </c>
      <c r="N11" s="4" t="s">
        <v>56</v>
      </c>
    </row>
    <row r="12" spans="1:16">
      <c r="A12">
        <v>20250724</v>
      </c>
      <c r="B12" t="s">
        <v>30</v>
      </c>
      <c r="C12" t="s">
        <v>19</v>
      </c>
      <c r="D12" t="s">
        <v>19</v>
      </c>
      <c r="E12" t="s">
        <v>57</v>
      </c>
      <c r="F12" t="s">
        <v>19</v>
      </c>
      <c r="G12" s="3" t="s">
        <v>48</v>
      </c>
      <c r="H12" s="3" t="s">
        <v>26</v>
      </c>
      <c r="I12" s="3">
        <v>-9999</v>
      </c>
      <c r="J12" s="3" t="s">
        <v>58</v>
      </c>
      <c r="K12" s="3">
        <v>-9999</v>
      </c>
      <c r="L12" s="3">
        <v>-50</v>
      </c>
      <c r="M12" s="3" t="s">
        <v>19</v>
      </c>
      <c r="N12" s="4" t="s">
        <v>56</v>
      </c>
    </row>
    <row r="13" spans="1:16">
      <c r="A13">
        <v>20250724</v>
      </c>
      <c r="B13" t="s">
        <v>59</v>
      </c>
      <c r="C13" t="s">
        <v>19</v>
      </c>
      <c r="D13" t="s">
        <v>19</v>
      </c>
      <c r="E13" t="s">
        <v>60</v>
      </c>
      <c r="F13" t="s">
        <v>61</v>
      </c>
      <c r="G13" s="3" t="s">
        <v>25</v>
      </c>
      <c r="H13" s="3" t="s">
        <v>26</v>
      </c>
      <c r="I13" s="3">
        <v>6269</v>
      </c>
      <c r="J13" s="3" t="s">
        <v>27</v>
      </c>
      <c r="K13" s="3">
        <v>-9999</v>
      </c>
      <c r="L13" s="3">
        <v>150</v>
      </c>
      <c r="M13" s="3" t="s">
        <v>62</v>
      </c>
      <c r="N13" t="s">
        <v>63</v>
      </c>
      <c r="O13" t="s">
        <v>64</v>
      </c>
    </row>
    <row r="14" spans="1:16">
      <c r="A14">
        <v>20250724</v>
      </c>
      <c r="B14" t="s">
        <v>22</v>
      </c>
      <c r="C14" t="s">
        <v>19</v>
      </c>
      <c r="D14" t="s">
        <v>19</v>
      </c>
      <c r="E14" t="s">
        <v>65</v>
      </c>
      <c r="F14" t="s">
        <v>66</v>
      </c>
      <c r="G14" s="3" t="s">
        <v>25</v>
      </c>
      <c r="H14" s="3" t="s">
        <v>26</v>
      </c>
      <c r="I14" s="3">
        <v>6269</v>
      </c>
      <c r="J14" s="3" t="s">
        <v>27</v>
      </c>
      <c r="K14" s="3">
        <v>-9999</v>
      </c>
      <c r="L14" s="3">
        <v>150</v>
      </c>
      <c r="M14" s="3" t="s">
        <v>28</v>
      </c>
      <c r="N14" s="6" t="s">
        <v>67</v>
      </c>
      <c r="P14" t="s">
        <v>68</v>
      </c>
    </row>
    <row r="15" spans="1:16">
      <c r="A15">
        <v>20250820</v>
      </c>
      <c r="B15" t="s">
        <v>16</v>
      </c>
      <c r="C15" s="5">
        <v>0.65069444444444446</v>
      </c>
      <c r="D15" s="5">
        <v>0.66805555555555551</v>
      </c>
      <c r="E15" t="s">
        <v>69</v>
      </c>
      <c r="F15" t="s">
        <v>61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20</v>
      </c>
      <c r="N15" s="4" t="s">
        <v>70</v>
      </c>
      <c r="O15" t="s">
        <v>71</v>
      </c>
    </row>
    <row r="16" spans="1:16">
      <c r="A16">
        <v>20250820</v>
      </c>
      <c r="B16" t="s">
        <v>59</v>
      </c>
      <c r="C16" t="s">
        <v>19</v>
      </c>
      <c r="D16" t="s">
        <v>19</v>
      </c>
      <c r="E16" t="s">
        <v>72</v>
      </c>
      <c r="F16" t="s">
        <v>73</v>
      </c>
      <c r="G16" s="3" t="s">
        <v>25</v>
      </c>
      <c r="H16" s="3" t="s">
        <v>26</v>
      </c>
      <c r="I16" s="3">
        <v>6269</v>
      </c>
      <c r="J16" s="3" t="s">
        <v>27</v>
      </c>
      <c r="K16" s="3">
        <v>-9999</v>
      </c>
      <c r="L16" s="3">
        <v>150</v>
      </c>
      <c r="M16" s="3" t="s">
        <v>19</v>
      </c>
      <c r="N16" t="s">
        <v>74</v>
      </c>
    </row>
    <row r="17" spans="1:16">
      <c r="A17">
        <v>20250820</v>
      </c>
      <c r="B17" t="s">
        <v>75</v>
      </c>
      <c r="C17" t="s">
        <v>19</v>
      </c>
      <c r="D17" t="s">
        <v>19</v>
      </c>
      <c r="E17" t="s">
        <v>76</v>
      </c>
      <c r="F17" t="s">
        <v>19</v>
      </c>
      <c r="G17" s="3" t="s">
        <v>32</v>
      </c>
      <c r="H17" s="3" t="s">
        <v>33</v>
      </c>
      <c r="I17" s="3">
        <v>2437</v>
      </c>
      <c r="J17" s="3" t="s">
        <v>34</v>
      </c>
      <c r="K17" s="3">
        <v>-9999</v>
      </c>
      <c r="L17" s="3">
        <v>256</v>
      </c>
      <c r="M17" s="3" t="s">
        <v>62</v>
      </c>
      <c r="N17" s="4" t="s">
        <v>70</v>
      </c>
      <c r="O17" t="s">
        <v>77</v>
      </c>
      <c r="P17" t="s">
        <v>78</v>
      </c>
    </row>
    <row r="18" spans="1:16">
      <c r="A18"/>
      <c r="C18"/>
      <c r="D18"/>
    </row>
    <row r="19" spans="1:16">
      <c r="A19"/>
      <c r="C19"/>
      <c r="D19"/>
    </row>
    <row r="20" spans="1:16">
      <c r="A20"/>
      <c r="C20"/>
      <c r="D20"/>
    </row>
    <row r="21" spans="1:16">
      <c r="A21"/>
      <c r="C21"/>
      <c r="D21"/>
    </row>
    <row r="22" spans="1:16">
      <c r="A22"/>
      <c r="C22"/>
      <c r="D22"/>
    </row>
    <row r="23" spans="1:16">
      <c r="A23"/>
      <c r="C23"/>
      <c r="D23"/>
    </row>
    <row r="24" spans="1:16">
      <c r="A24"/>
      <c r="C24"/>
      <c r="D24"/>
    </row>
    <row r="25" spans="1:16">
      <c r="A25"/>
      <c r="C25"/>
      <c r="D25"/>
    </row>
    <row r="26" spans="1:16">
      <c r="A26"/>
      <c r="C26"/>
      <c r="D26"/>
    </row>
    <row r="27" spans="1:16">
      <c r="A27"/>
      <c r="C27"/>
      <c r="D27"/>
    </row>
    <row r="28" spans="1:16">
      <c r="A28"/>
      <c r="C28"/>
      <c r="D28"/>
    </row>
    <row r="29" spans="1:16">
      <c r="A29"/>
      <c r="C29"/>
      <c r="D29"/>
    </row>
    <row r="30" spans="1:16">
      <c r="A30"/>
      <c r="C30"/>
      <c r="D30"/>
    </row>
    <row r="31" spans="1:16">
      <c r="A31"/>
      <c r="C31"/>
      <c r="D31"/>
    </row>
    <row r="32" spans="1:16">
      <c r="A32"/>
      <c r="C32"/>
      <c r="D32"/>
    </row>
    <row r="33" spans="1:4">
      <c r="A33"/>
      <c r="C33"/>
      <c r="D33"/>
    </row>
  </sheetData>
  <dataValidations count="3">
    <dataValidation allowBlank="1" showInputMessage="1" showErrorMessage="1" sqref="J5:L6 G6:I6 N15:O1048576 C5:F6 H5:I5 N4:N13 P2:P33 C2:L4 O2:O13 N2 C7:L1048576" xr:uid="{D6B87E01-14AB-433C-887B-8C2A1C6DA629}"/>
    <dataValidation type="list" allowBlank="1" showInputMessage="1" showErrorMessage="1" sqref="M2:M1048576" xr:uid="{0320760C-2300-46CB-B134-73E3147963F7}">
      <formula1>List_Flags</formula1>
    </dataValidation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F40B-CDC1-4C3F-A8A7-FA07F4ECED65}">
  <dimension ref="A1:D37"/>
  <sheetViews>
    <sheetView tabSelected="1" workbookViewId="0">
      <selection activeCell="B38" sqref="B38"/>
    </sheetView>
  </sheetViews>
  <sheetFormatPr defaultRowHeight="15"/>
  <cols>
    <col min="1" max="1" width="28" bestFit="1" customWidth="1"/>
    <col min="2" max="2" width="15.28515625" bestFit="1" customWidth="1"/>
    <col min="3" max="3" width="13.42578125" bestFit="1" customWidth="1"/>
    <col min="4" max="4" width="13.5703125" bestFit="1" customWidth="1"/>
  </cols>
  <sheetData>
    <row r="1" spans="1:4">
      <c r="A1" s="7" t="s">
        <v>79</v>
      </c>
      <c r="B1" s="7" t="s">
        <v>80</v>
      </c>
      <c r="C1" s="7" t="s">
        <v>81</v>
      </c>
      <c r="D1" s="8" t="s">
        <v>82</v>
      </c>
    </row>
    <row r="2" spans="1:4">
      <c r="A2" t="s">
        <v>83</v>
      </c>
      <c r="B2" t="s">
        <v>84</v>
      </c>
      <c r="C2" t="s">
        <v>25</v>
      </c>
      <c r="D2">
        <v>150</v>
      </c>
    </row>
    <row r="3" spans="1:4">
      <c r="A3" t="s">
        <v>85</v>
      </c>
      <c r="B3" t="s">
        <v>86</v>
      </c>
      <c r="C3" t="s">
        <v>25</v>
      </c>
      <c r="D3">
        <v>150</v>
      </c>
    </row>
    <row r="4" spans="1:4">
      <c r="A4" t="s">
        <v>87</v>
      </c>
      <c r="B4" t="s">
        <v>88</v>
      </c>
      <c r="C4" t="s">
        <v>25</v>
      </c>
      <c r="D4">
        <v>150</v>
      </c>
    </row>
    <row r="5" spans="1:4">
      <c r="A5" t="s">
        <v>89</v>
      </c>
      <c r="B5" t="s">
        <v>90</v>
      </c>
      <c r="C5" t="s">
        <v>25</v>
      </c>
      <c r="D5">
        <v>150</v>
      </c>
    </row>
    <row r="6" spans="1:4">
      <c r="A6" t="s">
        <v>91</v>
      </c>
      <c r="B6" t="s">
        <v>92</v>
      </c>
      <c r="C6" t="s">
        <v>36</v>
      </c>
      <c r="D6">
        <v>246</v>
      </c>
    </row>
    <row r="7" spans="1:4">
      <c r="A7" t="s">
        <v>93</v>
      </c>
      <c r="B7" t="s">
        <v>94</v>
      </c>
      <c r="C7" t="s">
        <v>36</v>
      </c>
      <c r="D7">
        <v>246</v>
      </c>
    </row>
    <row r="8" spans="1:4">
      <c r="A8" t="s">
        <v>95</v>
      </c>
      <c r="B8" t="s">
        <v>96</v>
      </c>
      <c r="C8" t="s">
        <v>36</v>
      </c>
      <c r="D8">
        <v>246</v>
      </c>
    </row>
    <row r="9" spans="1:4">
      <c r="A9" t="s">
        <v>97</v>
      </c>
      <c r="B9" t="s">
        <v>98</v>
      </c>
      <c r="C9" t="s">
        <v>36</v>
      </c>
      <c r="D9">
        <v>246</v>
      </c>
    </row>
    <row r="10" spans="1:4">
      <c r="A10" t="s">
        <v>99</v>
      </c>
      <c r="B10" t="s">
        <v>100</v>
      </c>
      <c r="C10" t="s">
        <v>39</v>
      </c>
      <c r="D10">
        <v>268</v>
      </c>
    </row>
    <row r="11" spans="1:4">
      <c r="A11" t="s">
        <v>101</v>
      </c>
      <c r="B11" t="s">
        <v>102</v>
      </c>
      <c r="C11" t="s">
        <v>39</v>
      </c>
      <c r="D11">
        <v>268</v>
      </c>
    </row>
    <row r="12" spans="1:4">
      <c r="A12" t="s">
        <v>103</v>
      </c>
      <c r="B12" t="s">
        <v>104</v>
      </c>
      <c r="C12" t="s">
        <v>39</v>
      </c>
      <c r="D12">
        <v>268</v>
      </c>
    </row>
    <row r="13" spans="1:4">
      <c r="A13" t="s">
        <v>105</v>
      </c>
      <c r="B13" t="s">
        <v>106</v>
      </c>
      <c r="C13" t="s">
        <v>39</v>
      </c>
      <c r="D13">
        <v>268</v>
      </c>
    </row>
    <row r="14" spans="1:4">
      <c r="A14" t="s">
        <v>107</v>
      </c>
      <c r="B14" t="s">
        <v>108</v>
      </c>
      <c r="C14" t="s">
        <v>39</v>
      </c>
      <c r="D14">
        <v>268</v>
      </c>
    </row>
    <row r="15" spans="1:4">
      <c r="A15" t="s">
        <v>109</v>
      </c>
      <c r="B15" t="s">
        <v>110</v>
      </c>
      <c r="C15" t="s">
        <v>39</v>
      </c>
      <c r="D15">
        <v>268</v>
      </c>
    </row>
    <row r="16" spans="1:4">
      <c r="A16" t="s">
        <v>111</v>
      </c>
      <c r="B16" t="s">
        <v>112</v>
      </c>
      <c r="C16" t="s">
        <v>39</v>
      </c>
      <c r="D16">
        <v>268</v>
      </c>
    </row>
    <row r="17" spans="1:4">
      <c r="A17" t="s">
        <v>113</v>
      </c>
      <c r="B17" t="s">
        <v>114</v>
      </c>
      <c r="C17" t="s">
        <v>39</v>
      </c>
      <c r="D17">
        <v>268</v>
      </c>
    </row>
    <row r="18" spans="1:4">
      <c r="A18" t="s">
        <v>115</v>
      </c>
      <c r="B18" t="s">
        <v>116</v>
      </c>
      <c r="C18" t="s">
        <v>39</v>
      </c>
      <c r="D18">
        <v>268</v>
      </c>
    </row>
    <row r="19" spans="1:4">
      <c r="A19" t="s">
        <v>117</v>
      </c>
      <c r="B19" t="s">
        <v>118</v>
      </c>
      <c r="C19" t="s">
        <v>39</v>
      </c>
      <c r="D19">
        <v>268</v>
      </c>
    </row>
    <row r="20" spans="1:4">
      <c r="A20" t="s">
        <v>119</v>
      </c>
      <c r="B20" t="s">
        <v>120</v>
      </c>
      <c r="C20" t="s">
        <v>39</v>
      </c>
      <c r="D20">
        <v>268</v>
      </c>
    </row>
    <row r="21" spans="1:4">
      <c r="A21" t="s">
        <v>121</v>
      </c>
      <c r="B21" t="s">
        <v>122</v>
      </c>
      <c r="C21" t="s">
        <v>39</v>
      </c>
      <c r="D21">
        <v>268</v>
      </c>
    </row>
    <row r="22" spans="1:4">
      <c r="A22" t="s">
        <v>123</v>
      </c>
      <c r="B22" t="s">
        <v>124</v>
      </c>
      <c r="C22" t="s">
        <v>39</v>
      </c>
      <c r="D22">
        <v>268</v>
      </c>
    </row>
    <row r="23" spans="1:4">
      <c r="A23" t="s">
        <v>125</v>
      </c>
      <c r="B23" t="s">
        <v>126</v>
      </c>
      <c r="C23" t="s">
        <v>39</v>
      </c>
      <c r="D23">
        <v>268</v>
      </c>
    </row>
    <row r="24" spans="1:4">
      <c r="A24" t="s">
        <v>127</v>
      </c>
      <c r="B24" t="s">
        <v>128</v>
      </c>
      <c r="C24" t="s">
        <v>39</v>
      </c>
      <c r="D24">
        <v>268</v>
      </c>
    </row>
    <row r="25" spans="1:4">
      <c r="A25" t="s">
        <v>129</v>
      </c>
      <c r="B25" t="s">
        <v>130</v>
      </c>
      <c r="C25" t="s">
        <v>39</v>
      </c>
      <c r="D25">
        <v>268</v>
      </c>
    </row>
    <row r="26" spans="1:4">
      <c r="A26" t="s">
        <v>131</v>
      </c>
      <c r="B26" t="s">
        <v>132</v>
      </c>
      <c r="C26" t="s">
        <v>39</v>
      </c>
      <c r="D26">
        <v>268</v>
      </c>
    </row>
    <row r="27" spans="1:4">
      <c r="A27" t="s">
        <v>133</v>
      </c>
      <c r="B27" t="s">
        <v>134</v>
      </c>
      <c r="C27" t="s">
        <v>48</v>
      </c>
      <c r="D27">
        <v>45</v>
      </c>
    </row>
    <row r="28" spans="1:4">
      <c r="A28" t="s">
        <v>135</v>
      </c>
      <c r="B28" t="s">
        <v>136</v>
      </c>
      <c r="C28" t="s">
        <v>48</v>
      </c>
      <c r="D28">
        <v>-15</v>
      </c>
    </row>
    <row r="29" spans="1:4">
      <c r="A29" t="s">
        <v>137</v>
      </c>
      <c r="B29" t="s">
        <v>138</v>
      </c>
      <c r="C29" t="s">
        <v>48</v>
      </c>
      <c r="D29">
        <v>-50</v>
      </c>
    </row>
    <row r="30" spans="1:4">
      <c r="A30" t="s">
        <v>139</v>
      </c>
      <c r="B30" t="s">
        <v>140</v>
      </c>
      <c r="C30" t="s">
        <v>32</v>
      </c>
      <c r="D30">
        <v>256</v>
      </c>
    </row>
    <row r="31" spans="1:4">
      <c r="A31" t="s">
        <v>141</v>
      </c>
      <c r="B31" t="s">
        <v>142</v>
      </c>
      <c r="C31" t="s">
        <v>32</v>
      </c>
      <c r="D31">
        <v>256</v>
      </c>
    </row>
    <row r="32" spans="1:4">
      <c r="A32" t="s">
        <v>143</v>
      </c>
      <c r="B32" t="s">
        <v>144</v>
      </c>
      <c r="C32" t="s">
        <v>32</v>
      </c>
      <c r="D32">
        <v>256</v>
      </c>
    </row>
    <row r="33" spans="1:4">
      <c r="A33" t="s">
        <v>145</v>
      </c>
      <c r="B33" t="s">
        <v>146</v>
      </c>
      <c r="C33" t="s">
        <v>32</v>
      </c>
      <c r="D33">
        <v>256</v>
      </c>
    </row>
    <row r="34" spans="1:4">
      <c r="A34" t="s">
        <v>147</v>
      </c>
      <c r="B34" t="s">
        <v>148</v>
      </c>
      <c r="C34" t="s">
        <v>32</v>
      </c>
      <c r="D34">
        <v>256</v>
      </c>
    </row>
    <row r="35" spans="1:4">
      <c r="A35" t="s">
        <v>149</v>
      </c>
      <c r="B35" t="s">
        <v>150</v>
      </c>
      <c r="C35" t="s">
        <v>32</v>
      </c>
      <c r="D35">
        <v>256</v>
      </c>
    </row>
    <row r="36" spans="1:4">
      <c r="A36" t="s">
        <v>151</v>
      </c>
      <c r="B36" t="s">
        <v>152</v>
      </c>
      <c r="C36" t="s">
        <v>32</v>
      </c>
      <c r="D36">
        <v>256</v>
      </c>
    </row>
    <row r="37" spans="1:4">
      <c r="A37" t="s">
        <v>153</v>
      </c>
      <c r="B37" t="s">
        <v>154</v>
      </c>
      <c r="C37" t="s">
        <v>32</v>
      </c>
      <c r="D37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activeCell="B2" sqref="B2:B6"/>
    </sheetView>
  </sheetViews>
  <sheetFormatPr defaultRowHeight="15"/>
  <cols>
    <col min="1" max="1" width="14.7109375" bestFit="1" customWidth="1"/>
  </cols>
  <sheetData>
    <row r="1" spans="1:2">
      <c r="A1" t="s">
        <v>155</v>
      </c>
      <c r="B1" t="s">
        <v>12</v>
      </c>
    </row>
    <row r="2" spans="1:2">
      <c r="A2" t="s">
        <v>16</v>
      </c>
      <c r="B2" t="s">
        <v>62</v>
      </c>
    </row>
    <row r="3" spans="1:2">
      <c r="A3" t="s">
        <v>59</v>
      </c>
      <c r="B3" t="s">
        <v>156</v>
      </c>
    </row>
    <row r="4" spans="1:2">
      <c r="A4" t="s">
        <v>30</v>
      </c>
      <c r="B4" t="s">
        <v>157</v>
      </c>
    </row>
    <row r="5" spans="1:2">
      <c r="A5" t="s">
        <v>75</v>
      </c>
      <c r="B5" t="s">
        <v>20</v>
      </c>
    </row>
    <row r="6" spans="1:2">
      <c r="A6" t="s">
        <v>22</v>
      </c>
      <c r="B6" t="s">
        <v>19</v>
      </c>
    </row>
    <row r="7" spans="1:2">
      <c r="A7" t="s">
        <v>158</v>
      </c>
      <c r="B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E4701A-3B92-4EE0-9802-A7CC295697BD}"/>
</file>

<file path=customXml/itemProps2.xml><?xml version="1.0" encoding="utf-8"?>
<ds:datastoreItem xmlns:ds="http://schemas.openxmlformats.org/officeDocument/2006/customXml" ds:itemID="{6B3C5309-9CDD-4547-B6A1-4F85DE7DDA5E}"/>
</file>

<file path=customXml/itemProps3.xml><?xml version="1.0" encoding="utf-8"?>
<ds:datastoreItem xmlns:ds="http://schemas.openxmlformats.org/officeDocument/2006/customXml" ds:itemID="{049E6CD6-7D3C-4D9D-A231-297A79BEF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2026-02-12T23:47:03Z</dcterms:created>
  <dcterms:modified xsi:type="dcterms:W3CDTF">2026-03-05T23:37:25Z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