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 - RefSensorThresholds(S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Helvetica Neue"/>
      <b val="1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00FFF2CC"/>
        <bgColor rgb="00FFF2CC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Alignment="1">
      <alignment vertical="top" wrapText="1"/>
    </xf>
  </cellStyleXfs>
  <cellXfs count="16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vertical="top"/>
    </xf>
    <xf numFmtId="0" fontId="0" fillId="2" borderId="3" applyAlignment="1" pivotButton="0" quotePrefix="0" xfId="0">
      <alignment vertical="top"/>
    </xf>
    <xf numFmtId="49" fontId="3" fillId="2" borderId="4" applyAlignment="1" pivotButton="0" quotePrefix="0" xfId="0">
      <alignment vertical="top"/>
    </xf>
    <xf numFmtId="49" fontId="0" fillId="2" borderId="4" applyAlignment="1" pivotButton="0" quotePrefix="0" xfId="0">
      <alignment vertical="top"/>
    </xf>
    <xf numFmtId="0" fontId="0" fillId="2" borderId="4" applyAlignment="1" pivotButton="0" quotePrefix="0" xfId="0">
      <alignment vertical="top"/>
    </xf>
    <xf numFmtId="0" fontId="0" fillId="2" borderId="4" applyAlignment="1" pivotButton="0" quotePrefix="0" xfId="0">
      <alignment vertical="top"/>
    </xf>
    <xf numFmtId="0" fontId="0" fillId="0" borderId="0" pivotButton="0" quotePrefix="0" xfId="0"/>
    <xf numFmtId="49" fontId="1" fillId="2" borderId="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3" fillId="3" borderId="4" applyAlignment="1" pivotButton="0" quotePrefix="0" xfId="0">
      <alignment vertical="top"/>
    </xf>
    <xf numFmtId="49" fontId="0" fillId="3" borderId="4" applyAlignment="1" pivotButton="0" quotePrefix="0" xfId="0">
      <alignment vertical="top"/>
    </xf>
    <xf numFmtId="0" fontId="0" fillId="3" borderId="4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01"/>
  <sheetViews>
    <sheetView showGridLines="0" defaultGridColor="1" workbookViewId="0">
      <selection activeCell="A1" sqref="A1"/>
    </sheetView>
  </sheetViews>
  <sheetFormatPr baseColWidth="8" defaultColWidth="8.33333" defaultRowHeight="19.5" customHeight="1" outlineLevelRow="0"/>
  <cols>
    <col width="27.5" customWidth="1" style="1" min="1" max="1"/>
    <col width="13" customWidth="1" style="1" min="2" max="2"/>
    <col width="17.1719" customWidth="1" style="1" min="3" max="3"/>
    <col width="32.5" customWidth="1" style="1" min="4" max="4"/>
    <col width="9.17188" customWidth="1" style="1" min="5" max="5"/>
    <col width="5.85156" customWidth="1" style="1" min="6" max="6"/>
    <col width="6.17188" customWidth="1" style="1" min="7" max="7"/>
    <col width="5.67188" customWidth="1" style="1" min="8" max="8"/>
    <col width="6" customWidth="1" style="1" min="9" max="9"/>
    <col width="38.1719" customWidth="1" style="1" min="10" max="10"/>
    <col width="13.1719" customWidth="1" style="1" min="11" max="11"/>
    <col width="11.8516" customWidth="1" style="1" min="12" max="12"/>
    <col width="18.3516" customWidth="1" style="1" min="13" max="13"/>
    <col width="9.17188" customWidth="1" style="1" min="14" max="14"/>
    <col width="100.852" customWidth="1" style="1" min="15" max="15"/>
    <col width="8.351559999999999" customWidth="1" style="1" min="16" max="16384"/>
  </cols>
  <sheetData>
    <row r="1" ht="27" customHeight="1" s="9">
      <c r="A1" s="10" t="inlineStr">
        <is>
          <t>RefSensorThresholds(SensorThresholds)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2" t="n"/>
    </row>
    <row r="2" ht="20.25" customHeight="1" s="9">
      <c r="A2" s="5" t="inlineStr">
        <is>
          <t>Sensor_Type</t>
        </is>
      </c>
      <c r="B2" s="5" t="inlineStr">
        <is>
          <t>Sensor_model</t>
        </is>
      </c>
      <c r="C2" s="5" t="inlineStr">
        <is>
          <t>Param_name</t>
        </is>
      </c>
      <c r="D2" s="5" t="inlineStr">
        <is>
          <t>Param_description</t>
        </is>
      </c>
      <c r="E2" s="5" t="inlineStr">
        <is>
          <t>Units</t>
        </is>
      </c>
      <c r="F2" s="5" t="inlineStr">
        <is>
          <t>Rmin</t>
        </is>
      </c>
      <c r="G2" s="5" t="inlineStr">
        <is>
          <t>Rmax</t>
        </is>
      </c>
      <c r="H2" s="5" t="inlineStr">
        <is>
          <t>Cmin</t>
        </is>
      </c>
      <c r="I2" s="5" t="inlineStr">
        <is>
          <t>Cmax</t>
        </is>
      </c>
      <c r="J2" s="5" t="inlineStr">
        <is>
          <t>Dependencies</t>
        </is>
      </c>
      <c r="K2" s="5" t="inlineStr">
        <is>
          <t>Flags_physical</t>
        </is>
      </c>
      <c r="L2" s="5" t="inlineStr">
        <is>
          <t>Flags_logical</t>
        </is>
      </c>
      <c r="M2" s="5" t="inlineStr">
        <is>
          <t>Flags_Depend</t>
        </is>
      </c>
      <c r="N2" s="5" t="inlineStr">
        <is>
          <t>Is_default</t>
        </is>
      </c>
      <c r="O2" s="5" t="inlineStr">
        <is>
          <t>Notes</t>
        </is>
      </c>
    </row>
    <row r="3" ht="20.25" customHeight="1" s="9">
      <c r="A3" s="5" t="inlineStr">
        <is>
          <t>Data Logger</t>
        </is>
      </c>
      <c r="B3" s="6" t="inlineStr">
        <is>
          <t>CR350</t>
        </is>
      </c>
      <c r="C3" s="6" t="inlineStr">
        <is>
          <t>battv</t>
        </is>
      </c>
      <c r="D3" s="6" t="inlineStr">
        <is>
          <t>Battery voltage</t>
        </is>
      </c>
      <c r="E3" s="6" t="inlineStr">
        <is>
          <t>V</t>
        </is>
      </c>
      <c r="F3" s="8" t="n">
        <v>9.6</v>
      </c>
      <c r="G3" s="8" t="n">
        <v>19</v>
      </c>
      <c r="H3" s="8" t="n">
        <v>10</v>
      </c>
      <c r="I3" s="8" t="n">
        <v>16</v>
      </c>
      <c r="J3" s="6" t="inlineStr">
        <is>
          <t>None</t>
        </is>
      </c>
      <c r="K3" s="6" t="inlineStr">
        <is>
          <t>R, C</t>
        </is>
      </c>
      <c r="L3" s="6" t="inlineStr">
        <is>
          <t>V</t>
        </is>
      </c>
      <c r="M3" s="6" t="inlineStr">
        <is>
          <t>PT, LR</t>
        </is>
      </c>
      <c r="N3" s="8">
        <f t="array" ref="N3">FALSE()</f>
        <v/>
      </c>
      <c r="O3" s="6" t="inlineStr">
        <is>
          <t>System suspends &lt; 9.6V OR &gt; 19V</t>
        </is>
      </c>
    </row>
    <row r="4" ht="19.5" customHeight="1" s="9">
      <c r="A4" s="5" t="inlineStr">
        <is>
          <t>Data Logger</t>
        </is>
      </c>
      <c r="B4" s="6" t="inlineStr">
        <is>
          <t>CR350</t>
        </is>
      </c>
      <c r="C4" s="6" t="inlineStr">
        <is>
          <t>record</t>
        </is>
      </c>
      <c r="D4" s="6" t="inlineStr">
        <is>
          <t>Observation number</t>
        </is>
      </c>
      <c r="E4" s="6" t="inlineStr">
        <is>
          <t>Integer</t>
        </is>
      </c>
      <c r="F4" s="8" t="n">
        <v>0</v>
      </c>
      <c r="G4" s="6" t="inlineStr">
        <is>
          <t>NaN</t>
        </is>
      </c>
      <c r="H4" s="6" t="inlineStr">
        <is>
          <t>NaN</t>
        </is>
      </c>
      <c r="I4" s="6" t="inlineStr">
        <is>
          <t>NaN</t>
        </is>
      </c>
      <c r="J4" s="6" t="inlineStr">
        <is>
          <t>None</t>
        </is>
      </c>
      <c r="K4" s="6" t="inlineStr">
        <is>
          <t>LR</t>
        </is>
      </c>
      <c r="L4" s="6" t="inlineStr">
        <is>
          <t>V</t>
        </is>
      </c>
      <c r="M4" s="6" t="inlineStr">
        <is>
          <t>BV, PT</t>
        </is>
      </c>
      <c r="N4" s="8">
        <f t="array" ref="N4">TRUE()</f>
        <v/>
      </c>
      <c r="O4" s="6" t="inlineStr">
        <is>
          <t>Logger restart indicated by RECORD sequence restart indictaing power failure or update</t>
        </is>
      </c>
    </row>
    <row r="5" ht="19.5" customHeight="1" s="9">
      <c r="A5" s="5" t="inlineStr">
        <is>
          <t>Data Logger</t>
        </is>
      </c>
      <c r="B5" s="6" t="inlineStr">
        <is>
          <t>CR350</t>
        </is>
      </c>
      <c r="C5" s="6" t="inlineStr">
        <is>
          <t>ptmp</t>
        </is>
      </c>
      <c r="D5" s="6" t="inlineStr">
        <is>
          <t>Panel temperature</t>
        </is>
      </c>
      <c r="E5" s="6" t="inlineStr">
        <is>
          <t>degC</t>
        </is>
      </c>
      <c r="F5" s="8" t="n">
        <v>-40</v>
      </c>
      <c r="G5" s="8" t="n">
        <v>70</v>
      </c>
      <c r="H5" s="6" t="inlineStr">
        <is>
          <t>NaN</t>
        </is>
      </c>
      <c r="I5" s="6" t="inlineStr">
        <is>
          <t>NaN</t>
        </is>
      </c>
      <c r="J5" s="6" t="inlineStr">
        <is>
          <t>None</t>
        </is>
      </c>
      <c r="K5" s="6" t="inlineStr">
        <is>
          <t>R</t>
        </is>
      </c>
      <c r="L5" s="6" t="inlineStr">
        <is>
          <t>V</t>
        </is>
      </c>
      <c r="M5" s="6" t="inlineStr">
        <is>
          <t>BV, LR</t>
        </is>
      </c>
      <c r="N5" s="8">
        <f t="array" ref="N5">FALSE()</f>
        <v/>
      </c>
      <c r="O5" s="8" t="n"/>
    </row>
    <row r="6" ht="19.5" customHeight="1" s="9">
      <c r="A6" s="5" t="inlineStr">
        <is>
          <t>Temperature Probe</t>
        </is>
      </c>
      <c r="B6" s="6" t="inlineStr">
        <is>
          <t>ST-110</t>
        </is>
      </c>
      <c r="C6" s="6" t="inlineStr">
        <is>
          <t>atmp</t>
        </is>
      </c>
      <c r="D6" s="6" t="inlineStr">
        <is>
          <t>Air temperature</t>
        </is>
      </c>
      <c r="E6" s="6" t="inlineStr">
        <is>
          <t>degC</t>
        </is>
      </c>
      <c r="F6" s="8" t="n">
        <v>-40</v>
      </c>
      <c r="G6" s="8" t="n">
        <v>70</v>
      </c>
      <c r="H6" s="6" t="inlineStr">
        <is>
          <t>NaN</t>
        </is>
      </c>
      <c r="I6" s="6" t="inlineStr">
        <is>
          <t>NaN</t>
        </is>
      </c>
      <c r="J6" s="6" t="inlineStr">
        <is>
          <t>None</t>
        </is>
      </c>
      <c r="K6" s="6" t="inlineStr">
        <is>
          <t>R</t>
        </is>
      </c>
      <c r="L6" s="6" t="inlineStr">
        <is>
          <t>V</t>
        </is>
      </c>
      <c r="M6" s="6" t="inlineStr">
        <is>
          <t>BV, PT, LR</t>
        </is>
      </c>
      <c r="N6" s="8">
        <f t="array" ref="N6">FALSE()</f>
        <v/>
      </c>
      <c r="O6" s="8" t="n"/>
    </row>
    <row r="7" ht="19.5" customHeight="1" s="9">
      <c r="A7" s="5" t="inlineStr">
        <is>
          <t>Temperature Probe</t>
        </is>
      </c>
      <c r="B7" s="6" t="inlineStr">
        <is>
          <t>T109</t>
        </is>
      </c>
      <c r="C7" s="6" t="inlineStr">
        <is>
          <t>gtmp</t>
        </is>
      </c>
      <c r="D7" s="6" t="inlineStr">
        <is>
          <t>Ground temperature</t>
        </is>
      </c>
      <c r="E7" s="6" t="inlineStr">
        <is>
          <t>degC</t>
        </is>
      </c>
      <c r="F7" s="8" t="n">
        <v>-50</v>
      </c>
      <c r="G7" s="8" t="n">
        <v>70</v>
      </c>
      <c r="H7" s="6" t="inlineStr">
        <is>
          <t>NaN</t>
        </is>
      </c>
      <c r="I7" s="6" t="inlineStr">
        <is>
          <t>NaN</t>
        </is>
      </c>
      <c r="J7" s="6" t="inlineStr">
        <is>
          <t>None</t>
        </is>
      </c>
      <c r="K7" s="6" t="inlineStr">
        <is>
          <t>R</t>
        </is>
      </c>
      <c r="L7" s="6" t="inlineStr">
        <is>
          <t>V</t>
        </is>
      </c>
      <c r="M7" s="6" t="inlineStr">
        <is>
          <t>BV, PT, LR</t>
        </is>
      </c>
      <c r="N7" s="8">
        <f t="array" ref="N7">FALSE()</f>
        <v/>
      </c>
      <c r="O7" s="8" t="n"/>
    </row>
    <row r="8" ht="19.5" customHeight="1" s="9">
      <c r="A8" s="5" t="inlineStr">
        <is>
          <t>Temperature Probe</t>
        </is>
      </c>
      <c r="B8" s="6" t="inlineStr">
        <is>
          <t>T109</t>
        </is>
      </c>
      <c r="C8" s="6" t="inlineStr">
        <is>
          <t>atmp</t>
        </is>
      </c>
      <c r="D8" s="6" t="inlineStr">
        <is>
          <t>Air temperature</t>
        </is>
      </c>
      <c r="E8" s="6" t="inlineStr">
        <is>
          <t>degC</t>
        </is>
      </c>
      <c r="F8" s="8" t="n">
        <v>-50</v>
      </c>
      <c r="G8" s="8" t="n">
        <v>70</v>
      </c>
      <c r="H8" s="6" t="inlineStr">
        <is>
          <t>NaN</t>
        </is>
      </c>
      <c r="I8" s="6" t="inlineStr">
        <is>
          <t>NaN</t>
        </is>
      </c>
      <c r="J8" s="6" t="inlineStr">
        <is>
          <t>None</t>
        </is>
      </c>
      <c r="K8" s="6" t="inlineStr">
        <is>
          <t>R</t>
        </is>
      </c>
      <c r="L8" s="6" t="inlineStr">
        <is>
          <t>V</t>
        </is>
      </c>
      <c r="M8" s="6" t="inlineStr">
        <is>
          <t>BV, PT, LR</t>
        </is>
      </c>
      <c r="N8" s="8">
        <f t="array" ref="N8">FALSE()</f>
        <v/>
      </c>
      <c r="O8" s="8" t="n"/>
    </row>
    <row r="9" ht="19.5" customHeight="1" s="9">
      <c r="A9" s="5" t="inlineStr">
        <is>
          <t>Temperature Probe</t>
        </is>
      </c>
      <c r="B9" s="6" t="inlineStr">
        <is>
          <t>T109</t>
        </is>
      </c>
      <c r="C9" s="6" t="inlineStr">
        <is>
          <t>wtmp</t>
        </is>
      </c>
      <c r="D9" s="6" t="inlineStr">
        <is>
          <t>Water temperature</t>
        </is>
      </c>
      <c r="E9" s="6" t="inlineStr">
        <is>
          <t>degC</t>
        </is>
      </c>
      <c r="F9" s="8" t="n">
        <v>-50</v>
      </c>
      <c r="G9" s="8" t="n">
        <v>70</v>
      </c>
      <c r="H9" s="6" t="inlineStr">
        <is>
          <t>NaN</t>
        </is>
      </c>
      <c r="I9" s="6" t="inlineStr">
        <is>
          <t>NaN</t>
        </is>
      </c>
      <c r="J9" s="6" t="inlineStr">
        <is>
          <t>None</t>
        </is>
      </c>
      <c r="K9" s="6" t="inlineStr">
        <is>
          <t>See notes</t>
        </is>
      </c>
      <c r="L9" s="6" t="inlineStr">
        <is>
          <t>See notes</t>
        </is>
      </c>
      <c r="M9" s="6" t="inlineStr">
        <is>
          <t>See notes</t>
        </is>
      </c>
      <c r="N9" s="8">
        <f t="array" ref="N9">FALSE()</f>
        <v/>
      </c>
      <c r="O9" s="6" t="inlineStr">
        <is>
          <t>Use water temperature qaqc code</t>
        </is>
      </c>
    </row>
    <row r="10" ht="19.5" customHeight="1" s="9">
      <c r="A10" s="5" t="inlineStr">
        <is>
          <t>Compact Digital Weather Sensor</t>
        </is>
      </c>
      <c r="B10" s="6" t="inlineStr">
        <is>
          <t>ClimaVue50</t>
        </is>
      </c>
      <c r="C10" s="6" t="inlineStr">
        <is>
          <t>atmp_2m</t>
        </is>
      </c>
      <c r="D10" s="6" t="inlineStr">
        <is>
          <t>Air temperature</t>
        </is>
      </c>
      <c r="E10" s="6" t="inlineStr">
        <is>
          <t>degC</t>
        </is>
      </c>
      <c r="F10" s="8" t="n">
        <v>-50</v>
      </c>
      <c r="G10" s="8" t="n">
        <v>60</v>
      </c>
      <c r="H10" s="6" t="inlineStr">
        <is>
          <t>NaN</t>
        </is>
      </c>
      <c r="I10" s="6" t="inlineStr">
        <is>
          <t>NaN</t>
        </is>
      </c>
      <c r="J10" s="6" t="inlineStr">
        <is>
          <t>slr_fd, wind</t>
        </is>
      </c>
      <c r="K10" s="6" t="inlineStr">
        <is>
          <t>E, R</t>
        </is>
      </c>
      <c r="L10" s="6" t="inlineStr">
        <is>
          <t>V</t>
        </is>
      </c>
      <c r="M10" s="6" t="inlineStr">
        <is>
          <t>BV, PT, LR, DF, DC</t>
        </is>
      </c>
      <c r="N10" s="8">
        <f t="array" ref="N10">FALSE()</f>
        <v/>
      </c>
      <c r="O10" s="6" t="inlineStr">
        <is>
          <t>Air temperature corrected by energy balance equation, flag DC if slr_fd == DC or T, E if -9999</t>
        </is>
      </c>
    </row>
    <row r="11" ht="19.5" customHeight="1" s="9">
      <c r="A11" s="5" t="inlineStr">
        <is>
          <t>Compact Digital Weather Sensor</t>
        </is>
      </c>
      <c r="B11" s="6" t="inlineStr">
        <is>
          <t>ClimaVue50</t>
        </is>
      </c>
      <c r="C11" s="6" t="inlineStr">
        <is>
          <t>rh_tmp</t>
        </is>
      </c>
      <c r="D11" s="6" t="inlineStr">
        <is>
          <t>Relative humidity probe temperature</t>
        </is>
      </c>
      <c r="E11" s="6" t="inlineStr">
        <is>
          <t>degC</t>
        </is>
      </c>
      <c r="F11" s="8" t="n">
        <v>-40</v>
      </c>
      <c r="G11" s="8" t="n">
        <v>60</v>
      </c>
      <c r="H11" s="6" t="inlineStr">
        <is>
          <t>NaN</t>
        </is>
      </c>
      <c r="I11" s="6" t="inlineStr">
        <is>
          <t>NaN</t>
        </is>
      </c>
      <c r="J11" s="6" t="inlineStr">
        <is>
          <t>None</t>
        </is>
      </c>
      <c r="K11" s="6" t="inlineStr">
        <is>
          <t>R, E</t>
        </is>
      </c>
      <c r="L11" s="6" t="inlineStr">
        <is>
          <t>V</t>
        </is>
      </c>
      <c r="M11" s="6" t="inlineStr">
        <is>
          <t>BV, PT, LR</t>
        </is>
      </c>
      <c r="N11" s="8">
        <f t="array" ref="N11">FALSE()</f>
        <v/>
      </c>
      <c r="O11" s="8" t="n"/>
    </row>
    <row r="12" ht="19.5" customHeight="1" s="9">
      <c r="A12" s="5" t="inlineStr">
        <is>
          <t>Compact Digital Weather Sensor</t>
        </is>
      </c>
      <c r="B12" s="6" t="inlineStr">
        <is>
          <t>ClimaVue50</t>
        </is>
      </c>
      <c r="C12" s="6" t="inlineStr">
        <is>
          <t>slr_fd</t>
        </is>
      </c>
      <c r="D12" s="6" t="inlineStr">
        <is>
          <t>Solar flux density</t>
        </is>
      </c>
      <c r="E12" s="6" t="inlineStr">
        <is>
          <t>W/m^2</t>
        </is>
      </c>
      <c r="F12" s="8" t="n">
        <v>0</v>
      </c>
      <c r="G12" s="8" t="n">
        <v>1750</v>
      </c>
      <c r="H12" s="8" t="n">
        <v>0</v>
      </c>
      <c r="I12" s="8" t="n">
        <v>1360</v>
      </c>
      <c r="J12" s="6" t="inlineStr">
        <is>
          <t>tilt_ns, tilt_we</t>
        </is>
      </c>
      <c r="K12" s="6" t="inlineStr">
        <is>
          <t>R, E, C</t>
        </is>
      </c>
      <c r="L12" s="6" t="inlineStr">
        <is>
          <t>V, Z</t>
        </is>
      </c>
      <c r="M12" s="6" t="inlineStr">
        <is>
          <t>BV, PT, LR, DC, T</t>
        </is>
      </c>
      <c r="N12" s="8">
        <f t="array" ref="N12">FALSE()</f>
        <v/>
      </c>
      <c r="O12" s="6" t="inlineStr">
        <is>
          <t>T flag if tilt &gt; |3deg| &lt; |R| (i.e., C), DC flag if &gt; |90| (i.e., R), flag z &gt; 0  at night, E if -9999</t>
        </is>
      </c>
    </row>
    <row r="13" ht="19.5" customHeight="1" s="9">
      <c r="A13" s="5" t="inlineStr">
        <is>
          <t>Compact Digital Weather Sensor</t>
        </is>
      </c>
      <c r="B13" s="6" t="inlineStr">
        <is>
          <t>ClimaVue50</t>
        </is>
      </c>
      <c r="C13" s="6" t="inlineStr">
        <is>
          <t>rain</t>
        </is>
      </c>
      <c r="D13" s="6" t="inlineStr">
        <is>
          <t>Total rainfall</t>
        </is>
      </c>
      <c r="E13" s="6" t="inlineStr">
        <is>
          <t>mm</t>
        </is>
      </c>
      <c r="F13" s="8" t="n">
        <v>0</v>
      </c>
      <c r="G13" s="8" t="n">
        <v>100</v>
      </c>
      <c r="H13" s="8" t="n">
        <v>0</v>
      </c>
      <c r="I13" s="8" t="n">
        <v>12.5</v>
      </c>
      <c r="J13" s="6" t="inlineStr">
        <is>
          <t>tilt_ns, tilt_we</t>
        </is>
      </c>
      <c r="K13" s="6" t="inlineStr">
        <is>
          <t>R, E, C</t>
        </is>
      </c>
      <c r="L13" s="6" t="inlineStr">
        <is>
          <t>V</t>
        </is>
      </c>
      <c r="M13" s="6" t="inlineStr">
        <is>
          <t>BV, PT, LR, DC, T</t>
        </is>
      </c>
      <c r="N13" s="8">
        <f t="array" ref="N13">FALSE()</f>
        <v/>
      </c>
      <c r="O13" s="6" t="inlineStr">
        <is>
          <t>T flag if tilt &gt; |3deg| &lt; |R| (i.e., C), DC flag if &gt; |90| (i.e., R), max intensity 400mm/hr and accuracy drops &lt; 50mm/hr, E if -9999</t>
        </is>
      </c>
    </row>
    <row r="14" ht="19.5" customHeight="1" s="9">
      <c r="A14" s="5" t="inlineStr">
        <is>
          <t>Compact Digital Weather Sensor</t>
        </is>
      </c>
      <c r="B14" s="6" t="inlineStr">
        <is>
          <t>ClimaVue50</t>
        </is>
      </c>
      <c r="C14" s="6" t="inlineStr">
        <is>
          <t>strikes</t>
        </is>
      </c>
      <c r="D14" s="6" t="inlineStr">
        <is>
          <t>Total lightning strikes</t>
        </is>
      </c>
      <c r="E14" s="6" t="inlineStr">
        <is>
          <t>count</t>
        </is>
      </c>
      <c r="F14" s="8" t="n">
        <v>0</v>
      </c>
      <c r="G14" s="8" t="n">
        <v>65535</v>
      </c>
      <c r="H14" s="6" t="inlineStr">
        <is>
          <t>NaN</t>
        </is>
      </c>
      <c r="I14" s="6" t="inlineStr">
        <is>
          <t>NaN</t>
        </is>
      </c>
      <c r="J14" s="6" t="inlineStr">
        <is>
          <t>None</t>
        </is>
      </c>
      <c r="K14" s="6" t="inlineStr">
        <is>
          <t>R, E</t>
        </is>
      </c>
      <c r="L14" s="6" t="inlineStr">
        <is>
          <t>V</t>
        </is>
      </c>
      <c r="M14" s="6" t="inlineStr">
        <is>
          <t>BV, PT, LR</t>
        </is>
      </c>
      <c r="N14" s="8">
        <f t="array" ref="N14">FALSE()</f>
        <v/>
      </c>
      <c r="O14" s="6" t="inlineStr">
        <is>
          <t>E if -9999</t>
        </is>
      </c>
    </row>
    <row r="15" ht="19.5" customHeight="1" s="9">
      <c r="A15" s="5" t="inlineStr">
        <is>
          <t>Compact Digital Weather Sensor</t>
        </is>
      </c>
      <c r="B15" s="6" t="inlineStr">
        <is>
          <t>ClimaVue50</t>
        </is>
      </c>
      <c r="C15" s="6" t="inlineStr">
        <is>
          <t>strike_dist</t>
        </is>
      </c>
      <c r="D15" s="6" t="inlineStr">
        <is>
          <t>Average distance of lightning strikes</t>
        </is>
      </c>
      <c r="E15" s="6" t="inlineStr">
        <is>
          <t>km</t>
        </is>
      </c>
      <c r="F15" s="8" t="n">
        <v>0</v>
      </c>
      <c r="G15" s="8" t="n">
        <v>40</v>
      </c>
      <c r="H15" s="6" t="inlineStr">
        <is>
          <t>NaN</t>
        </is>
      </c>
      <c r="I15" s="6" t="inlineStr">
        <is>
          <t>NaN</t>
        </is>
      </c>
      <c r="J15" s="6" t="inlineStr">
        <is>
          <t>strikes</t>
        </is>
      </c>
      <c r="K15" s="6" t="inlineStr">
        <is>
          <t>R, E</t>
        </is>
      </c>
      <c r="L15" s="6" t="inlineStr">
        <is>
          <t>V, NV</t>
        </is>
      </c>
      <c r="M15" s="6" t="inlineStr">
        <is>
          <t>BV, PT, LR, DF</t>
        </is>
      </c>
      <c r="N15" s="8">
        <f t="array" ref="N15">FALSE()</f>
        <v/>
      </c>
      <c r="O15" s="6" t="inlineStr">
        <is>
          <t>Valid only if strikes &gt; 0, E if -9999</t>
        </is>
      </c>
    </row>
    <row r="16" ht="19.5" customHeight="1" s="9">
      <c r="A16" s="5" t="inlineStr">
        <is>
          <t>Compact Digital Weather Sensor</t>
        </is>
      </c>
      <c r="B16" s="6" t="inlineStr">
        <is>
          <t>ClimaVue50</t>
        </is>
      </c>
      <c r="C16" s="6" t="inlineStr">
        <is>
          <t>strike_dist_max</t>
        </is>
      </c>
      <c r="D16" s="6" t="inlineStr">
        <is>
          <t>Maximum distance of lightning strike</t>
        </is>
      </c>
      <c r="E16" s="6" t="inlineStr">
        <is>
          <t>km</t>
        </is>
      </c>
      <c r="F16" s="8" t="n">
        <v>0</v>
      </c>
      <c r="G16" s="8" t="n">
        <v>40</v>
      </c>
      <c r="H16" s="6" t="inlineStr">
        <is>
          <t>NaN</t>
        </is>
      </c>
      <c r="I16" s="6" t="inlineStr">
        <is>
          <t>NaN</t>
        </is>
      </c>
      <c r="J16" s="6" t="inlineStr">
        <is>
          <t>strikes</t>
        </is>
      </c>
      <c r="K16" s="6" t="inlineStr">
        <is>
          <t>R, E</t>
        </is>
      </c>
      <c r="L16" s="6" t="inlineStr">
        <is>
          <t>V, NV</t>
        </is>
      </c>
      <c r="M16" s="6" t="inlineStr">
        <is>
          <t>BV, PT, LR, DF</t>
        </is>
      </c>
      <c r="N16" s="8">
        <f t="array" ref="N16">FALSE()</f>
        <v/>
      </c>
      <c r="O16" s="6" t="inlineStr">
        <is>
          <t>Valid only if strikes &gt; 0, E if -9999</t>
        </is>
      </c>
    </row>
    <row r="17" ht="19.5" customHeight="1" s="9">
      <c r="A17" s="5" t="inlineStr">
        <is>
          <t>Compact Digital Weather Sensor</t>
        </is>
      </c>
      <c r="B17" s="6" t="inlineStr">
        <is>
          <t>ClimaVue50</t>
        </is>
      </c>
      <c r="C17" s="6" t="inlineStr">
        <is>
          <t>strike_dist_max_time</t>
        </is>
      </c>
      <c r="D17" s="6" t="inlineStr">
        <is>
          <t>Time of maximum distance lighting strike</t>
        </is>
      </c>
      <c r="E17" s="6" t="inlineStr">
        <is>
          <t>Date/Time</t>
        </is>
      </c>
      <c r="F17" s="6" t="inlineStr">
        <is>
          <t>NaN</t>
        </is>
      </c>
      <c r="G17" s="6" t="inlineStr">
        <is>
          <t>NaN</t>
        </is>
      </c>
      <c r="H17" s="6" t="inlineStr">
        <is>
          <t>NaN</t>
        </is>
      </c>
      <c r="I17" s="6" t="inlineStr">
        <is>
          <t>NaN</t>
        </is>
      </c>
      <c r="J17" s="6" t="inlineStr">
        <is>
          <t>strikes</t>
        </is>
      </c>
      <c r="K17" s="6" t="inlineStr">
        <is>
          <t>E</t>
        </is>
      </c>
      <c r="L17" s="6" t="inlineStr">
        <is>
          <t>V, NV</t>
        </is>
      </c>
      <c r="M17" s="6" t="inlineStr">
        <is>
          <t>BV, PT, LR, DF</t>
        </is>
      </c>
      <c r="N17" s="8">
        <f t="array" ref="N17">FALSE()</f>
        <v/>
      </c>
      <c r="O17" s="6" t="inlineStr">
        <is>
          <t>Ensure date/time format is correct, Valid only if strikes &gt; 0, E if -9999</t>
        </is>
      </c>
    </row>
    <row r="18" ht="19.5" customHeight="1" s="9">
      <c r="A18" s="5" t="inlineStr">
        <is>
          <t>Compact Digital Weather Sensor</t>
        </is>
      </c>
      <c r="B18" s="6" t="inlineStr">
        <is>
          <t>ClimaVue50</t>
        </is>
      </c>
      <c r="C18" s="6" t="inlineStr">
        <is>
          <t>wind</t>
        </is>
      </c>
      <c r="D18" s="6" t="inlineStr">
        <is>
          <t>Wind speed</t>
        </is>
      </c>
      <c r="E18" s="6" t="inlineStr">
        <is>
          <t>m/s</t>
        </is>
      </c>
      <c r="F18" s="8" t="n">
        <v>0</v>
      </c>
      <c r="G18" s="8" t="n">
        <v>30</v>
      </c>
      <c r="H18" s="6" t="inlineStr">
        <is>
          <t>NaN</t>
        </is>
      </c>
      <c r="I18" s="6" t="inlineStr">
        <is>
          <t>NaN</t>
        </is>
      </c>
      <c r="J18" s="6" t="inlineStr">
        <is>
          <t>None</t>
        </is>
      </c>
      <c r="K18" s="6" t="inlineStr">
        <is>
          <t>R, E</t>
        </is>
      </c>
      <c r="L18" s="6" t="inlineStr">
        <is>
          <t>V</t>
        </is>
      </c>
      <c r="M18" s="6" t="inlineStr">
        <is>
          <t>BV, PT, LR</t>
        </is>
      </c>
      <c r="N18" s="8">
        <f t="array" ref="N18">FALSE()</f>
        <v/>
      </c>
      <c r="O18" s="6" t="inlineStr">
        <is>
          <t>E if -9990</t>
        </is>
      </c>
    </row>
    <row r="19" ht="19.5" customHeight="1" s="9">
      <c r="A19" s="5" t="inlineStr">
        <is>
          <t>Compact Digital Weather Sensor</t>
        </is>
      </c>
      <c r="B19" s="6" t="inlineStr">
        <is>
          <t>ClimaVue50</t>
        </is>
      </c>
      <c r="C19" s="6" t="inlineStr">
        <is>
          <t>wind_dir</t>
        </is>
      </c>
      <c r="D19" s="6" t="inlineStr">
        <is>
          <t>Wind direction</t>
        </is>
      </c>
      <c r="E19" s="6" t="inlineStr">
        <is>
          <t>deg</t>
        </is>
      </c>
      <c r="F19" s="8" t="n">
        <v>0</v>
      </c>
      <c r="G19" s="8" t="n">
        <v>359</v>
      </c>
      <c r="H19" s="6" t="inlineStr">
        <is>
          <t>NaN</t>
        </is>
      </c>
      <c r="I19" s="6" t="inlineStr">
        <is>
          <t>NaN</t>
        </is>
      </c>
      <c r="J19" s="6" t="inlineStr">
        <is>
          <t>wind</t>
        </is>
      </c>
      <c r="K19" s="6" t="inlineStr">
        <is>
          <t>R, E</t>
        </is>
      </c>
      <c r="L19" s="6" t="inlineStr">
        <is>
          <t>V, NV</t>
        </is>
      </c>
      <c r="M19" s="6" t="inlineStr">
        <is>
          <t>BV, PT, LR, DF</t>
        </is>
      </c>
      <c r="N19" s="8">
        <f t="array" ref="N19">FALSE()</f>
        <v/>
      </c>
      <c r="O19" s="6" t="inlineStr">
        <is>
          <t>Valid only if wind &gt; 0, E if -9999</t>
        </is>
      </c>
    </row>
    <row r="20" ht="19.5" customHeight="1" s="9">
      <c r="A20" s="5" t="inlineStr">
        <is>
          <t>Compact Digital Weather Sensor</t>
        </is>
      </c>
      <c r="B20" s="6" t="inlineStr">
        <is>
          <t>ClimaVue50</t>
        </is>
      </c>
      <c r="C20" s="6" t="inlineStr">
        <is>
          <t>wind_max</t>
        </is>
      </c>
      <c r="D20" s="6" t="inlineStr">
        <is>
          <t>Wind gust</t>
        </is>
      </c>
      <c r="E20" s="6" t="inlineStr">
        <is>
          <t>m/s</t>
        </is>
      </c>
      <c r="F20" s="8" t="n">
        <v>0</v>
      </c>
      <c r="G20" s="8" t="n">
        <v>30</v>
      </c>
      <c r="H20" s="6" t="inlineStr">
        <is>
          <t>NaN</t>
        </is>
      </c>
      <c r="I20" s="6" t="inlineStr">
        <is>
          <t>NaN</t>
        </is>
      </c>
      <c r="J20" s="6" t="inlineStr">
        <is>
          <t>wind</t>
        </is>
      </c>
      <c r="K20" s="6" t="inlineStr">
        <is>
          <t>R, E</t>
        </is>
      </c>
      <c r="L20" s="6" t="inlineStr">
        <is>
          <t>V, NV</t>
        </is>
      </c>
      <c r="M20" s="6" t="inlineStr">
        <is>
          <t>BV, PT, LR, DF</t>
        </is>
      </c>
      <c r="N20" s="8">
        <f t="array" ref="N20">FALSE()</f>
        <v/>
      </c>
      <c r="O20" s="6" t="inlineStr">
        <is>
          <t>Valid only if wind &gt; 0, E if -9999</t>
        </is>
      </c>
    </row>
    <row r="21" ht="19.5" customHeight="1" s="9">
      <c r="A21" s="5" t="inlineStr">
        <is>
          <t>Compact Digital Weather Sensor</t>
        </is>
      </c>
      <c r="B21" s="6" t="inlineStr">
        <is>
          <t>ClimaVue50</t>
        </is>
      </c>
      <c r="C21" s="6" t="inlineStr">
        <is>
          <t>wind_max_time</t>
        </is>
      </c>
      <c r="D21" s="6" t="inlineStr">
        <is>
          <t>Time of maximum wind gust</t>
        </is>
      </c>
      <c r="E21" s="6" t="inlineStr">
        <is>
          <t>Date/Time</t>
        </is>
      </c>
      <c r="F21" s="6" t="inlineStr">
        <is>
          <t>NaN</t>
        </is>
      </c>
      <c r="G21" s="6" t="inlineStr">
        <is>
          <t>NaN</t>
        </is>
      </c>
      <c r="H21" s="6" t="inlineStr">
        <is>
          <t>NaN</t>
        </is>
      </c>
      <c r="I21" s="6" t="inlineStr">
        <is>
          <t>NaN</t>
        </is>
      </c>
      <c r="J21" s="6" t="inlineStr">
        <is>
          <t>wind</t>
        </is>
      </c>
      <c r="K21" s="6" t="inlineStr">
        <is>
          <t>E</t>
        </is>
      </c>
      <c r="L21" s="6" t="inlineStr">
        <is>
          <t>V, NV</t>
        </is>
      </c>
      <c r="M21" s="6" t="inlineStr">
        <is>
          <t>BV, PT, LR, DF</t>
        </is>
      </c>
      <c r="N21" s="8">
        <f t="array" ref="N21">FALSE()</f>
        <v/>
      </c>
      <c r="O21" s="6" t="inlineStr">
        <is>
          <t>Ensure date/time format is correct</t>
        </is>
      </c>
    </row>
    <row r="22" ht="19.5" customHeight="1" s="9">
      <c r="A22" s="5" t="inlineStr">
        <is>
          <t>Compact Digital Weather Sensor</t>
        </is>
      </c>
      <c r="B22" s="6" t="inlineStr">
        <is>
          <t>ClimaVue50</t>
        </is>
      </c>
      <c r="C22" s="6" t="inlineStr">
        <is>
          <t>vp</t>
        </is>
      </c>
      <c r="D22" s="6" t="inlineStr">
        <is>
          <t>Vapour pressure</t>
        </is>
      </c>
      <c r="E22" s="6" t="inlineStr">
        <is>
          <t>hPa</t>
        </is>
      </c>
      <c r="F22" s="8" t="n">
        <v>0</v>
      </c>
      <c r="G22" s="8" t="n">
        <v>47</v>
      </c>
      <c r="H22" s="6" t="inlineStr">
        <is>
          <t>NaN</t>
        </is>
      </c>
      <c r="I22" s="6" t="inlineStr">
        <is>
          <t>NaN</t>
        </is>
      </c>
      <c r="J22" s="6" t="inlineStr">
        <is>
          <t>rh_tmp</t>
        </is>
      </c>
      <c r="K22" s="6" t="inlineStr">
        <is>
          <t>R, E</t>
        </is>
      </c>
      <c r="L22" s="6" t="inlineStr">
        <is>
          <t>V</t>
        </is>
      </c>
      <c r="M22" s="6" t="inlineStr">
        <is>
          <t>BV, PT, LR, DF</t>
        </is>
      </c>
      <c r="N22" s="8">
        <f t="array" ref="N22">FALSE()</f>
        <v/>
      </c>
      <c r="O22" s="6" t="inlineStr">
        <is>
          <t>E if -9999</t>
        </is>
      </c>
    </row>
    <row r="23" ht="19.5" customHeight="1" s="9">
      <c r="A23" s="5" t="inlineStr">
        <is>
          <t>Compact Digital Weather Sensor</t>
        </is>
      </c>
      <c r="B23" s="6" t="inlineStr">
        <is>
          <t>ClimaVue50</t>
        </is>
      </c>
      <c r="C23" s="6" t="inlineStr">
        <is>
          <t>rh_tmp</t>
        </is>
      </c>
      <c r="D23" s="6" t="inlineStr">
        <is>
          <t>Relative humidity</t>
        </is>
      </c>
      <c r="E23" s="6" t="inlineStr">
        <is>
          <t>%</t>
        </is>
      </c>
      <c r="F23" s="8" t="n">
        <v>0</v>
      </c>
      <c r="G23" s="8" t="n">
        <v>100</v>
      </c>
      <c r="H23" s="6" t="inlineStr">
        <is>
          <t>NaN</t>
        </is>
      </c>
      <c r="I23" s="6" t="inlineStr">
        <is>
          <t>NaN</t>
        </is>
      </c>
      <c r="J23" s="6" t="inlineStr">
        <is>
          <t>vp, atmp_2m</t>
        </is>
      </c>
      <c r="K23" s="6" t="inlineStr">
        <is>
          <t>R, E</t>
        </is>
      </c>
      <c r="L23" s="6" t="inlineStr">
        <is>
          <t>V</t>
        </is>
      </c>
      <c r="M23" s="6" t="inlineStr">
        <is>
          <t>BV, PT, LR, DF, DC</t>
        </is>
      </c>
      <c r="N23" s="8">
        <f t="array" ref="N23">FALSE()</f>
        <v/>
      </c>
      <c r="O23" s="6" t="inlineStr">
        <is>
          <t>Flag DC if atmp_2m == DC, E if -9999</t>
        </is>
      </c>
    </row>
    <row r="24" ht="19.5" customHeight="1" s="9">
      <c r="A24" s="5" t="inlineStr">
        <is>
          <t>Compact Digital Weather Sensor</t>
        </is>
      </c>
      <c r="B24" s="6" t="inlineStr">
        <is>
          <t>ClimaVue50</t>
        </is>
      </c>
      <c r="C24" s="6" t="inlineStr">
        <is>
          <t>bp</t>
        </is>
      </c>
      <c r="D24" s="6" t="inlineStr">
        <is>
          <t>Barometric Pressure</t>
        </is>
      </c>
      <c r="E24" s="6" t="inlineStr">
        <is>
          <t>hPa</t>
        </is>
      </c>
      <c r="F24" s="8" t="n">
        <v>500</v>
      </c>
      <c r="G24" s="8" t="n">
        <v>1100</v>
      </c>
      <c r="H24" s="6" t="inlineStr">
        <is>
          <t>NaN</t>
        </is>
      </c>
      <c r="I24" s="6" t="inlineStr">
        <is>
          <t>NaN</t>
        </is>
      </c>
      <c r="J24" s="6" t="inlineStr">
        <is>
          <t>None</t>
        </is>
      </c>
      <c r="K24" s="6" t="inlineStr">
        <is>
          <t>R, E</t>
        </is>
      </c>
      <c r="L24" s="6" t="inlineStr">
        <is>
          <t>V</t>
        </is>
      </c>
      <c r="M24" s="6" t="inlineStr">
        <is>
          <t>BV, PT, LR</t>
        </is>
      </c>
      <c r="N24" s="8">
        <f t="array" ref="N24">FALSE()</f>
        <v/>
      </c>
      <c r="O24" s="6" t="inlineStr">
        <is>
          <t>E if -9999</t>
        </is>
      </c>
    </row>
    <row r="25" ht="19.5" customHeight="1" s="9">
      <c r="A25" s="5" t="inlineStr">
        <is>
          <t>Compact Digital Weather Sensor</t>
        </is>
      </c>
      <c r="B25" s="6" t="inlineStr">
        <is>
          <t>ClimaVue50</t>
        </is>
      </c>
      <c r="C25" s="6" t="inlineStr">
        <is>
          <t>tilt_ns</t>
        </is>
      </c>
      <c r="D25" s="6" t="inlineStr">
        <is>
          <t>Sensor tilt N to S</t>
        </is>
      </c>
      <c r="E25" s="6" t="inlineStr">
        <is>
          <t>deg</t>
        </is>
      </c>
      <c r="F25" s="8" t="n">
        <v>-90</v>
      </c>
      <c r="G25" s="8" t="n">
        <v>90</v>
      </c>
      <c r="H25" s="8" t="n">
        <v>-3</v>
      </c>
      <c r="I25" s="8" t="n">
        <v>3</v>
      </c>
      <c r="J25" s="6" t="inlineStr">
        <is>
          <t>None</t>
        </is>
      </c>
      <c r="K25" s="6" t="inlineStr">
        <is>
          <t>R, E, C</t>
        </is>
      </c>
      <c r="L25" s="6" t="inlineStr">
        <is>
          <t>V</t>
        </is>
      </c>
      <c r="M25" s="6" t="inlineStr">
        <is>
          <t>BV, PT, LR</t>
        </is>
      </c>
      <c r="N25" s="8">
        <f t="array" ref="N25">FALSE()</f>
        <v/>
      </c>
      <c r="O25" s="6" t="inlineStr">
        <is>
          <t>E if -9999</t>
        </is>
      </c>
    </row>
    <row r="26" ht="19.5" customHeight="1" s="9">
      <c r="A26" s="5" t="inlineStr">
        <is>
          <t>Compact Digital Weather Sensor</t>
        </is>
      </c>
      <c r="B26" s="6" t="inlineStr">
        <is>
          <t>ClimaVue50</t>
        </is>
      </c>
      <c r="C26" s="6" t="inlineStr">
        <is>
          <t>tilt_we</t>
        </is>
      </c>
      <c r="D26" s="6" t="inlineStr">
        <is>
          <t>Sensor tilt W to E</t>
        </is>
      </c>
      <c r="E26" s="6" t="inlineStr">
        <is>
          <t>deg</t>
        </is>
      </c>
      <c r="F26" s="8" t="n">
        <v>-90</v>
      </c>
      <c r="G26" s="8" t="n">
        <v>90</v>
      </c>
      <c r="H26" s="8" t="n">
        <v>-3</v>
      </c>
      <c r="I26" s="8" t="n">
        <v>3</v>
      </c>
      <c r="J26" s="6" t="inlineStr">
        <is>
          <t>None</t>
        </is>
      </c>
      <c r="K26" s="6" t="inlineStr">
        <is>
          <t>R, E, C</t>
        </is>
      </c>
      <c r="L26" s="6" t="inlineStr">
        <is>
          <t>V</t>
        </is>
      </c>
      <c r="M26" s="6" t="inlineStr">
        <is>
          <t>BV, PT, LR</t>
        </is>
      </c>
      <c r="N26" s="8">
        <f t="array" ref="N26">FALSE()</f>
        <v/>
      </c>
      <c r="O26" s="6" t="inlineStr">
        <is>
          <t>E if -9999</t>
        </is>
      </c>
    </row>
    <row r="27" ht="19.5" customHeight="1" s="9">
      <c r="A27" s="5" t="inlineStr">
        <is>
          <t>Compact Digital Weather Sensor</t>
        </is>
      </c>
      <c r="B27" s="6" t="inlineStr">
        <is>
          <t>ClimaVue50</t>
        </is>
      </c>
      <c r="C27" s="6" t="inlineStr">
        <is>
          <t>slr_tf</t>
        </is>
      </c>
      <c r="D27" s="6" t="inlineStr">
        <is>
          <t>Total solar flux</t>
        </is>
      </c>
      <c r="E27" s="6" t="inlineStr">
        <is>
          <t>MJ</t>
        </is>
      </c>
      <c r="F27" s="8" t="n">
        <v>0</v>
      </c>
      <c r="G27" s="8" t="n">
        <v>1.575</v>
      </c>
      <c r="H27" s="8" t="n">
        <v>0</v>
      </c>
      <c r="I27" s="8" t="n">
        <v>1.215</v>
      </c>
      <c r="J27" s="6" t="inlineStr">
        <is>
          <t>slr_fd</t>
        </is>
      </c>
      <c r="K27" s="6" t="inlineStr">
        <is>
          <t>R, E, C</t>
        </is>
      </c>
      <c r="L27" s="6" t="inlineStr">
        <is>
          <t>V, Z</t>
        </is>
      </c>
      <c r="M27" s="6" t="inlineStr">
        <is>
          <t>BV, PT, LR, DC, DF</t>
        </is>
      </c>
      <c r="N27" s="8">
        <f t="array" ref="N27">FALSE()</f>
        <v/>
      </c>
      <c r="O27" s="6" t="inlineStr">
        <is>
          <t>DC flag if slr_fd == C, T, DC, E if -9999</t>
        </is>
      </c>
    </row>
    <row r="28" ht="19.5" customHeight="1" s="9">
      <c r="A28" s="5" t="inlineStr">
        <is>
          <t>Compact Digital Weather Sensor</t>
        </is>
      </c>
      <c r="B28" s="6" t="inlineStr">
        <is>
          <t>ClimaVue50</t>
        </is>
      </c>
      <c r="C28" s="6" t="inlineStr">
        <is>
          <t>wind_dir_sd</t>
        </is>
      </c>
      <c r="D28" s="6" t="inlineStr">
        <is>
          <t>Standard deviation of wind direction</t>
        </is>
      </c>
      <c r="E28" s="6" t="inlineStr">
        <is>
          <t>m/s</t>
        </is>
      </c>
      <c r="F28" s="6" t="inlineStr">
        <is>
          <t>NaN</t>
        </is>
      </c>
      <c r="G28" s="6" t="inlineStr">
        <is>
          <t>NaN</t>
        </is>
      </c>
      <c r="H28" s="6" t="inlineStr">
        <is>
          <t>NaN</t>
        </is>
      </c>
      <c r="I28" s="6" t="inlineStr">
        <is>
          <t>NaN</t>
        </is>
      </c>
      <c r="J28" s="6" t="inlineStr">
        <is>
          <t>wind_dir</t>
        </is>
      </c>
      <c r="K28" s="6" t="inlineStr">
        <is>
          <t>E</t>
        </is>
      </c>
      <c r="L28" s="6" t="inlineStr">
        <is>
          <t>V, NV</t>
        </is>
      </c>
      <c r="M28" s="6" t="inlineStr">
        <is>
          <t>BV, PT, LR, DF</t>
        </is>
      </c>
      <c r="N28" s="8">
        <f t="array" ref="N28">FALSE()</f>
        <v/>
      </c>
      <c r="O28" s="6" t="inlineStr">
        <is>
          <t>STEPHEN: have NV dependency for wind_dir_sd with regards to wind_speed (when wind speed is 0)</t>
        </is>
      </c>
    </row>
    <row r="29" ht="19.5" customHeight="1" s="9">
      <c r="A29" s="5" t="inlineStr">
        <is>
          <t>Sonic Ranger</t>
        </is>
      </c>
      <c r="B29" s="6" t="inlineStr">
        <is>
          <t>SR50</t>
        </is>
      </c>
      <c r="C29" s="6" t="inlineStr">
        <is>
          <t>dt</t>
        </is>
      </c>
      <c r="D29" s="6" t="inlineStr">
        <is>
          <t>Distance to target</t>
        </is>
      </c>
      <c r="E29" s="6" t="inlineStr">
        <is>
          <t>cm</t>
        </is>
      </c>
      <c r="F29" s="8" t="n">
        <v>50</v>
      </c>
      <c r="G29" s="8" t="n">
        <v>1000</v>
      </c>
      <c r="H29" s="6" t="inlineStr">
        <is>
          <t>NaN</t>
        </is>
      </c>
      <c r="I29" s="6" t="inlineStr">
        <is>
          <t>NaN</t>
        </is>
      </c>
      <c r="J29" s="6" t="inlineStr">
        <is>
          <t>None</t>
        </is>
      </c>
      <c r="K29" s="6" t="inlineStr">
        <is>
          <t>R, E</t>
        </is>
      </c>
      <c r="L29" s="6" t="inlineStr">
        <is>
          <t>V, SF</t>
        </is>
      </c>
      <c r="M29" s="6" t="inlineStr">
        <is>
          <t>BV, PT, LR</t>
        </is>
      </c>
      <c r="N29" s="8">
        <f t="array" ref="N29">FALSE()</f>
        <v/>
      </c>
      <c r="O29" s="6" t="inlineStr">
        <is>
          <t>E if 0 (no echo detected)</t>
        </is>
      </c>
    </row>
    <row r="30" ht="19.5" customHeight="1" s="9">
      <c r="A30" s="5" t="inlineStr">
        <is>
          <t>Sonic Ranger</t>
        </is>
      </c>
      <c r="B30" s="6" t="inlineStr">
        <is>
          <t>SR50</t>
        </is>
      </c>
      <c r="C30" s="6" t="inlineStr">
        <is>
          <t>q</t>
        </is>
      </c>
      <c r="D30" s="6" t="inlineStr">
        <is>
          <t>Quality number</t>
        </is>
      </c>
      <c r="E30" s="6" t="inlineStr">
        <is>
          <t>unitless</t>
        </is>
      </c>
      <c r="F30" s="8" t="n">
        <v>162</v>
      </c>
      <c r="G30" s="8" t="n">
        <v>600</v>
      </c>
      <c r="H30" s="6" t="inlineStr">
        <is>
          <t>NaN</t>
        </is>
      </c>
      <c r="I30" s="8" t="n">
        <v>210</v>
      </c>
      <c r="J30" s="6" t="inlineStr">
        <is>
          <t>dt</t>
        </is>
      </c>
      <c r="K30" s="6" t="inlineStr">
        <is>
          <t>R, C, E</t>
        </is>
      </c>
      <c r="L30" s="6" t="inlineStr">
        <is>
          <t>V, SF</t>
        </is>
      </c>
      <c r="M30" s="6" t="inlineStr">
        <is>
          <t>BV, PT, LR, DF</t>
        </is>
      </c>
      <c r="N30" s="8">
        <f t="array" ref="N30">FALSE()</f>
        <v/>
      </c>
      <c r="O30" s="6" t="inlineStr">
        <is>
          <t>E if 0, C if &gt; 210 (uncertain)</t>
        </is>
      </c>
    </row>
    <row r="31" ht="19.5" customHeight="1" s="9">
      <c r="A31" s="5" t="inlineStr">
        <is>
          <t>Sonic Ranger</t>
        </is>
      </c>
      <c r="B31" s="6" t="inlineStr">
        <is>
          <t>SR50</t>
        </is>
      </c>
      <c r="C31" s="6" t="inlineStr">
        <is>
          <t>tcdt</t>
        </is>
      </c>
      <c r="D31" s="6" t="inlineStr">
        <is>
          <t>Temperature corrected distance to target</t>
        </is>
      </c>
      <c r="E31" s="6" t="inlineStr">
        <is>
          <t>cm</t>
        </is>
      </c>
      <c r="F31" s="8" t="n">
        <v>50</v>
      </c>
      <c r="G31" s="8" t="n">
        <v>1000</v>
      </c>
      <c r="H31" s="6" t="inlineStr">
        <is>
          <t>NaN</t>
        </is>
      </c>
      <c r="I31" s="6" t="inlineStr">
        <is>
          <t>NaN</t>
        </is>
      </c>
      <c r="J31" s="6" t="inlineStr">
        <is>
          <t>dt, q, atmp_2m</t>
        </is>
      </c>
      <c r="K31" s="6" t="inlineStr">
        <is>
          <t>R</t>
        </is>
      </c>
      <c r="L31" s="6" t="inlineStr">
        <is>
          <t>V, SF</t>
        </is>
      </c>
      <c r="M31" s="6" t="inlineStr">
        <is>
          <t>BV, PT, LR, DF, DC</t>
        </is>
      </c>
      <c r="N31" s="8">
        <f t="array" ref="N31">FALSE()</f>
        <v/>
      </c>
      <c r="O31" s="6" t="inlineStr">
        <is>
          <t>Flag DC if Q == C or atmp_2m == DC</t>
        </is>
      </c>
    </row>
    <row r="32" ht="19.5" customHeight="1" s="9">
      <c r="A32" s="5" t="inlineStr">
        <is>
          <t>Sonic Ranger</t>
        </is>
      </c>
      <c r="B32" s="6" t="inlineStr">
        <is>
          <t>SR50</t>
        </is>
      </c>
      <c r="C32" s="6" t="inlineStr">
        <is>
          <t>snow</t>
        </is>
      </c>
      <c r="D32" s="6" t="inlineStr">
        <is>
          <t>Snow depth</t>
        </is>
      </c>
      <c r="E32" s="6" t="inlineStr">
        <is>
          <t>cm</t>
        </is>
      </c>
      <c r="F32" s="8" t="n">
        <v>0</v>
      </c>
      <c r="G32" s="6" t="inlineStr">
        <is>
          <t>H-50</t>
        </is>
      </c>
      <c r="H32" s="6" t="inlineStr">
        <is>
          <t>NaN</t>
        </is>
      </c>
      <c r="I32" s="6" t="inlineStr">
        <is>
          <t>NaN</t>
        </is>
      </c>
      <c r="J32" s="6" t="inlineStr">
        <is>
          <t>tcdt</t>
        </is>
      </c>
      <c r="K32" s="6" t="inlineStr">
        <is>
          <t>R</t>
        </is>
      </c>
      <c r="L32" s="6" t="inlineStr">
        <is>
          <t>V, SF</t>
        </is>
      </c>
      <c r="M32" s="6" t="inlineStr">
        <is>
          <t>BV, PT, LR, DF, DC</t>
        </is>
      </c>
      <c r="N32" s="8">
        <f t="array" ref="N32">FALSE()</f>
        <v/>
      </c>
      <c r="O32" s="6" t="inlineStr">
        <is>
          <t>H = height of sensor, Flag DC if tcdt == DC</t>
        </is>
      </c>
    </row>
    <row r="33" ht="19.5" customHeight="1" s="9">
      <c r="A33" s="5" t="inlineStr">
        <is>
          <t>Net Radiometer</t>
        </is>
      </c>
      <c r="B33" s="6" t="inlineStr">
        <is>
          <t>SN-500</t>
        </is>
      </c>
      <c r="C33" s="6" t="inlineStr">
        <is>
          <t>sw_in</t>
        </is>
      </c>
      <c r="D33" s="6" t="inlineStr">
        <is>
          <t>Incoming shortwave</t>
        </is>
      </c>
      <c r="E33" s="6" t="inlineStr">
        <is>
          <t>W/m^2</t>
        </is>
      </c>
      <c r="F33" s="8" t="n">
        <v>-10</v>
      </c>
      <c r="G33" s="8" t="n">
        <v>2000</v>
      </c>
      <c r="H33" s="8" t="n">
        <v>0</v>
      </c>
      <c r="I33" s="8" t="n">
        <v>1360</v>
      </c>
      <c r="J33" s="6" t="inlineStr">
        <is>
          <t>None</t>
        </is>
      </c>
      <c r="K33" s="6" t="inlineStr">
        <is>
          <t>R, C</t>
        </is>
      </c>
      <c r="L33" s="6" t="inlineStr">
        <is>
          <t>V, Z</t>
        </is>
      </c>
      <c r="M33" s="6" t="inlineStr">
        <is>
          <t>BV, PT, LR</t>
        </is>
      </c>
      <c r="N33" s="8">
        <f t="array" ref="N33">FALSE()</f>
        <v/>
      </c>
      <c r="O33" s="6" t="inlineStr">
        <is>
          <t>Allow small negative for thermal offset, flag Z &lt; 0  at night</t>
        </is>
      </c>
    </row>
    <row r="34" ht="19.5" customHeight="1" s="9">
      <c r="A34" s="5" t="inlineStr">
        <is>
          <t>Net Radiometer</t>
        </is>
      </c>
      <c r="B34" s="6" t="inlineStr">
        <is>
          <t>SN-500</t>
        </is>
      </c>
      <c r="C34" s="6" t="inlineStr">
        <is>
          <t>sw_out</t>
        </is>
      </c>
      <c r="D34" s="6" t="inlineStr">
        <is>
          <t>Outgoing shortwave</t>
        </is>
      </c>
      <c r="E34" s="6" t="inlineStr">
        <is>
          <t>W/m^2</t>
        </is>
      </c>
      <c r="F34" s="8" t="n">
        <v>-10</v>
      </c>
      <c r="G34" s="8" t="n">
        <v>2000</v>
      </c>
      <c r="H34" s="8" t="n">
        <v>0</v>
      </c>
      <c r="I34" s="8" t="n">
        <v>1360</v>
      </c>
      <c r="J34" s="6" t="inlineStr">
        <is>
          <t>None</t>
        </is>
      </c>
      <c r="K34" s="6" t="inlineStr">
        <is>
          <t>R, C</t>
        </is>
      </c>
      <c r="L34" s="6" t="inlineStr">
        <is>
          <t>V, Z</t>
        </is>
      </c>
      <c r="M34" s="6" t="inlineStr">
        <is>
          <t>BV, PT, LR</t>
        </is>
      </c>
      <c r="N34" s="8">
        <f t="array" ref="N34">FALSE()</f>
        <v/>
      </c>
      <c r="O34" s="6" t="inlineStr">
        <is>
          <t>Allow small negative for thermal offset, flag Z &lt; 0  at night</t>
        </is>
      </c>
    </row>
    <row r="35" ht="19.5" customHeight="1" s="9">
      <c r="A35" s="5" t="inlineStr">
        <is>
          <t>Net Radiometer</t>
        </is>
      </c>
      <c r="B35" s="6" t="inlineStr">
        <is>
          <t>SN-500</t>
        </is>
      </c>
      <c r="C35" s="6" t="inlineStr">
        <is>
          <t>lw_in</t>
        </is>
      </c>
      <c r="D35" s="6" t="inlineStr">
        <is>
          <t>Incoming longwave</t>
        </is>
      </c>
      <c r="E35" s="6" t="inlineStr">
        <is>
          <t>W/m^2</t>
        </is>
      </c>
      <c r="F35" s="6" t="inlineStr">
        <is>
          <t>NaN</t>
        </is>
      </c>
      <c r="G35" s="6" t="inlineStr">
        <is>
          <t>NaN</t>
        </is>
      </c>
      <c r="H35" s="8" t="n">
        <v>0</v>
      </c>
      <c r="I35" s="8" t="n">
        <v>600</v>
      </c>
      <c r="J35" s="6" t="inlineStr">
        <is>
          <t>None</t>
        </is>
      </c>
      <c r="K35" s="6" t="inlineStr">
        <is>
          <t>C</t>
        </is>
      </c>
      <c r="L35" s="6" t="inlineStr">
        <is>
          <t>V</t>
        </is>
      </c>
      <c r="M35" s="6" t="inlineStr">
        <is>
          <t>BV, PT, LR</t>
        </is>
      </c>
      <c r="N35" s="8">
        <f t="array" ref="N35">FALSE()</f>
        <v/>
      </c>
      <c r="O35" s="6" t="inlineStr">
        <is>
          <t>No manual limits 600 is standard terrestrial max</t>
        </is>
      </c>
    </row>
    <row r="36" ht="19.5" customHeight="1" s="9">
      <c r="A36" s="5" t="inlineStr">
        <is>
          <t>Net Radiometer</t>
        </is>
      </c>
      <c r="B36" s="6" t="inlineStr">
        <is>
          <t>SN-500</t>
        </is>
      </c>
      <c r="C36" s="6" t="inlineStr">
        <is>
          <t>lw_out</t>
        </is>
      </c>
      <c r="D36" s="6" t="inlineStr">
        <is>
          <t>Outgoing longwave</t>
        </is>
      </c>
      <c r="E36" s="6" t="inlineStr">
        <is>
          <t>W/m^2</t>
        </is>
      </c>
      <c r="F36" s="6" t="inlineStr">
        <is>
          <t>NaN</t>
        </is>
      </c>
      <c r="G36" s="6" t="inlineStr">
        <is>
          <t>NaN</t>
        </is>
      </c>
      <c r="H36" s="8" t="n">
        <v>0</v>
      </c>
      <c r="I36" s="8" t="n">
        <v>700</v>
      </c>
      <c r="J36" s="6" t="inlineStr">
        <is>
          <t>None</t>
        </is>
      </c>
      <c r="K36" s="6" t="inlineStr">
        <is>
          <t>C</t>
        </is>
      </c>
      <c r="L36" s="6" t="inlineStr">
        <is>
          <t>V</t>
        </is>
      </c>
      <c r="M36" s="6" t="inlineStr">
        <is>
          <t>BV, PT, LR</t>
        </is>
      </c>
      <c r="N36" s="8">
        <f t="array" ref="N36">FALSE()</f>
        <v/>
      </c>
      <c r="O36" s="6" t="inlineStr">
        <is>
          <t>No manual limits 700 is standard terrestrial max</t>
        </is>
      </c>
    </row>
    <row r="37" ht="19.5" customHeight="1" s="9">
      <c r="A37" s="5" t="inlineStr">
        <is>
          <t>Net Radiometer</t>
        </is>
      </c>
      <c r="B37" s="6" t="inlineStr">
        <is>
          <t>SN-500</t>
        </is>
      </c>
      <c r="C37" s="6" t="inlineStr">
        <is>
          <t>sw_net</t>
        </is>
      </c>
      <c r="D37" s="6" t="inlineStr">
        <is>
          <t>Net shortwave</t>
        </is>
      </c>
      <c r="E37" s="6" t="inlineStr">
        <is>
          <t>W/m^2</t>
        </is>
      </c>
      <c r="F37" s="8" t="n">
        <v>-2000</v>
      </c>
      <c r="G37" s="8" t="n">
        <v>2000</v>
      </c>
      <c r="H37" s="8" t="n">
        <v>0</v>
      </c>
      <c r="I37" s="8" t="n">
        <v>1360</v>
      </c>
      <c r="J37" s="6" t="inlineStr">
        <is>
          <t>SWin_Avg, SWout_Avg</t>
        </is>
      </c>
      <c r="K37" s="6" t="inlineStr">
        <is>
          <t>R, C</t>
        </is>
      </c>
      <c r="L37" s="6" t="inlineStr">
        <is>
          <t>V, Z</t>
        </is>
      </c>
      <c r="M37" s="6" t="inlineStr">
        <is>
          <t>BV, PT, LR, DC, DF</t>
        </is>
      </c>
      <c r="N37" s="8">
        <f t="array" ref="N37">FALSE()</f>
        <v/>
      </c>
      <c r="O37" s="6" t="inlineStr">
        <is>
          <t>Flag DC if sw_out OR sw_in == C, flag z &lt; 0 at night</t>
        </is>
      </c>
    </row>
    <row r="38" ht="19.5" customHeight="1" s="9">
      <c r="A38" s="5" t="inlineStr">
        <is>
          <t>Net Radiometer</t>
        </is>
      </c>
      <c r="B38" s="6" t="inlineStr">
        <is>
          <t>SN-500</t>
        </is>
      </c>
      <c r="C38" s="6" t="inlineStr">
        <is>
          <t>lw_net</t>
        </is>
      </c>
      <c r="D38" s="6" t="inlineStr">
        <is>
          <t>Net longwave</t>
        </is>
      </c>
      <c r="E38" s="6" t="inlineStr">
        <is>
          <t>W/m^2</t>
        </is>
      </c>
      <c r="F38" s="8" t="n">
        <v>-200</v>
      </c>
      <c r="G38" s="8" t="n">
        <v>200</v>
      </c>
      <c r="H38" s="8" t="n">
        <v>-150</v>
      </c>
      <c r="I38" s="8" t="n">
        <v>100</v>
      </c>
      <c r="J38" s="6" t="inlineStr">
        <is>
          <t>LWin_Avg, LWout_Avg</t>
        </is>
      </c>
      <c r="K38" s="6" t="inlineStr">
        <is>
          <t>R, C</t>
        </is>
      </c>
      <c r="L38" s="6" t="inlineStr">
        <is>
          <t>V</t>
        </is>
      </c>
      <c r="M38" s="6" t="inlineStr">
        <is>
          <t>BV, PT, LR, DC</t>
        </is>
      </c>
      <c r="N38" s="8">
        <f t="array" ref="N38">FALSE()</f>
        <v/>
      </c>
      <c r="O38" s="6" t="inlineStr">
        <is>
          <t>flag DC if lw_in OR lw_out == C</t>
        </is>
      </c>
    </row>
    <row r="39" ht="19.5" customHeight="1" s="9">
      <c r="A39" s="5" t="inlineStr">
        <is>
          <t>Net Radiometer</t>
        </is>
      </c>
      <c r="B39" s="6" t="inlineStr">
        <is>
          <t>SN-500</t>
        </is>
      </c>
      <c r="C39" s="6" t="inlineStr">
        <is>
          <t>albedo</t>
        </is>
      </c>
      <c r="D39" s="6" t="inlineStr">
        <is>
          <t>Surface albedo</t>
        </is>
      </c>
      <c r="E39" s="6" t="inlineStr">
        <is>
          <t>Unitless</t>
        </is>
      </c>
      <c r="F39" s="8" t="n">
        <v>0</v>
      </c>
      <c r="G39" s="8" t="n">
        <v>1</v>
      </c>
      <c r="H39" s="8" t="n">
        <v>0.05</v>
      </c>
      <c r="I39" s="8" t="n">
        <v>0.95</v>
      </c>
      <c r="J39" s="6" t="inlineStr">
        <is>
          <t>SWin_Avg, SWout_Avg</t>
        </is>
      </c>
      <c r="K39" s="6" t="inlineStr">
        <is>
          <t>R, C</t>
        </is>
      </c>
      <c r="L39" s="6" t="inlineStr">
        <is>
          <t>V, Z</t>
        </is>
      </c>
      <c r="M39" s="6" t="inlineStr">
        <is>
          <t>BV, PT, LR, DC, DF, DZ</t>
        </is>
      </c>
      <c r="N39" s="8">
        <f t="array" ref="N39">FALSE()</f>
        <v/>
      </c>
      <c r="O39" s="6" t="inlineStr">
        <is>
          <t>Flag DZ if sw_in &lt; 20, Flag DC if sw_out OR sw_in == C</t>
        </is>
      </c>
    </row>
    <row r="40" ht="19.5" customHeight="1" s="9">
      <c r="A40" s="5" t="inlineStr">
        <is>
          <t>Net Radiometer</t>
        </is>
      </c>
      <c r="B40" s="6" t="inlineStr">
        <is>
          <t>SN-500</t>
        </is>
      </c>
      <c r="C40" s="6" t="inlineStr">
        <is>
          <t>rad_net</t>
        </is>
      </c>
      <c r="D40" s="6" t="inlineStr">
        <is>
          <t>Net radiation</t>
        </is>
      </c>
      <c r="E40" s="6" t="inlineStr">
        <is>
          <t>W/m^2</t>
        </is>
      </c>
      <c r="F40" s="8" t="n">
        <v>-2200</v>
      </c>
      <c r="G40" s="8" t="n">
        <v>2200</v>
      </c>
      <c r="H40" s="8" t="n">
        <v>-200</v>
      </c>
      <c r="I40" s="8" t="n">
        <v>1000</v>
      </c>
      <c r="J40" s="6" t="inlineStr">
        <is>
          <t>SWnet_Avg, LWnet_Avg, LWin_Avg, LWout_Avg</t>
        </is>
      </c>
      <c r="K40" s="6" t="inlineStr">
        <is>
          <t>R, C</t>
        </is>
      </c>
      <c r="L40" s="6" t="inlineStr">
        <is>
          <t>V</t>
        </is>
      </c>
      <c r="M40" s="6" t="inlineStr">
        <is>
          <t>BV, PT, LR, DF, DC</t>
        </is>
      </c>
      <c r="N40" s="8">
        <f t="array" ref="N40">FALSE()</f>
        <v/>
      </c>
      <c r="O40" s="6" t="inlineStr">
        <is>
          <t>Flag DC if sw_in, sw_out, lw_in, lw_out == C</t>
        </is>
      </c>
    </row>
    <row r="41" ht="19.5" customHeight="1" s="9">
      <c r="A41" s="5" t="inlineStr">
        <is>
          <t>Snow Depth Sensor</t>
        </is>
      </c>
      <c r="B41" s="6" t="inlineStr">
        <is>
          <t>SR50AT</t>
        </is>
      </c>
      <c r="C41" s="6" t="inlineStr">
        <is>
          <t>tcdt</t>
        </is>
      </c>
      <c r="D41" s="6" t="inlineStr">
        <is>
          <t>Temperarture corrected distance to target</t>
        </is>
      </c>
      <c r="E41" s="6" t="inlineStr">
        <is>
          <t>cm</t>
        </is>
      </c>
      <c r="F41" s="8" t="n">
        <v>50</v>
      </c>
      <c r="G41" s="8" t="n">
        <v>1000</v>
      </c>
      <c r="H41" s="6" t="inlineStr">
        <is>
          <t>NaN</t>
        </is>
      </c>
      <c r="I41" s="6" t="inlineStr">
        <is>
          <t>NaN</t>
        </is>
      </c>
      <c r="J41" s="6" t="inlineStr">
        <is>
          <t>q, srtmp</t>
        </is>
      </c>
      <c r="K41" s="6" t="inlineStr">
        <is>
          <t>R, E</t>
        </is>
      </c>
      <c r="L41" s="6" t="inlineStr">
        <is>
          <t>V, SF</t>
        </is>
      </c>
      <c r="M41" s="6" t="inlineStr">
        <is>
          <t>BV, PT, LR, DC, DF</t>
        </is>
      </c>
      <c r="N41" s="8">
        <f t="array" ref="N41">FALSE()</f>
        <v/>
      </c>
      <c r="O41" s="6" t="inlineStr">
        <is>
          <t>E if 0 (no echo detected), DC if q == C</t>
        </is>
      </c>
    </row>
    <row r="42" ht="19.5" customHeight="1" s="9">
      <c r="A42" s="5" t="inlineStr">
        <is>
          <t>Snow Depth Sensor</t>
        </is>
      </c>
      <c r="B42" s="6" t="inlineStr">
        <is>
          <t>SR50AT</t>
        </is>
      </c>
      <c r="C42" s="6" t="inlineStr">
        <is>
          <t>q</t>
        </is>
      </c>
      <c r="D42" s="6" t="inlineStr">
        <is>
          <t>Quality number</t>
        </is>
      </c>
      <c r="E42" s="6" t="inlineStr">
        <is>
          <t>unitless</t>
        </is>
      </c>
      <c r="F42" s="8" t="n">
        <v>162</v>
      </c>
      <c r="G42" s="8" t="n">
        <v>600</v>
      </c>
      <c r="H42" s="6" t="inlineStr">
        <is>
          <t>NaN</t>
        </is>
      </c>
      <c r="I42" s="8" t="n">
        <v>210</v>
      </c>
      <c r="J42" s="6" t="inlineStr">
        <is>
          <t>None</t>
        </is>
      </c>
      <c r="K42" s="6" t="inlineStr">
        <is>
          <t>R, C, E</t>
        </is>
      </c>
      <c r="L42" s="6" t="inlineStr">
        <is>
          <t>V, SF</t>
        </is>
      </c>
      <c r="M42" s="6" t="inlineStr">
        <is>
          <t>BV, PT, LR</t>
        </is>
      </c>
      <c r="N42" s="8">
        <f t="array" ref="N42">FALSE()</f>
        <v/>
      </c>
      <c r="O42" s="6" t="inlineStr">
        <is>
          <t>E if 0, C if &gt; 210 (uncertain)</t>
        </is>
      </c>
    </row>
    <row r="43" ht="19.5" customHeight="1" s="9">
      <c r="A43" s="5" t="inlineStr">
        <is>
          <t>Snow Depth Sensor</t>
        </is>
      </c>
      <c r="B43" s="6" t="inlineStr">
        <is>
          <t>SR50AT</t>
        </is>
      </c>
      <c r="C43" s="6" t="inlineStr">
        <is>
          <t>srtmp</t>
        </is>
      </c>
      <c r="D43" s="6" t="inlineStr">
        <is>
          <t>Air temperarure of sonic ranger</t>
        </is>
      </c>
      <c r="E43" s="6" t="inlineStr">
        <is>
          <t>degC</t>
        </is>
      </c>
      <c r="F43" s="8" t="n">
        <v>-45</v>
      </c>
      <c r="G43" s="8" t="n">
        <v>50</v>
      </c>
      <c r="H43" s="6" t="inlineStr">
        <is>
          <t>NaN</t>
        </is>
      </c>
      <c r="I43" s="6" t="inlineStr">
        <is>
          <t>NaN</t>
        </is>
      </c>
      <c r="J43" s="6" t="inlineStr">
        <is>
          <t>None</t>
        </is>
      </c>
      <c r="K43" s="6" t="inlineStr">
        <is>
          <t>R</t>
        </is>
      </c>
      <c r="L43" s="6" t="inlineStr">
        <is>
          <t>V</t>
        </is>
      </c>
      <c r="M43" s="6" t="inlineStr">
        <is>
          <t>BV, PT, LR</t>
        </is>
      </c>
      <c r="N43" s="8">
        <f t="array" ref="N43">FALSE()</f>
        <v/>
      </c>
      <c r="O43" s="8" t="n"/>
    </row>
    <row r="44" ht="19.5" customHeight="1" s="9">
      <c r="A44" s="5" t="inlineStr">
        <is>
          <t>Snow Depth Sensor</t>
        </is>
      </c>
      <c r="B44" s="6" t="inlineStr">
        <is>
          <t>SR50AT</t>
        </is>
      </c>
      <c r="C44" s="6" t="inlineStr">
        <is>
          <t>snow</t>
        </is>
      </c>
      <c r="D44" s="6" t="inlineStr">
        <is>
          <t>Snow depth</t>
        </is>
      </c>
      <c r="E44" s="6" t="inlineStr">
        <is>
          <t>cm</t>
        </is>
      </c>
      <c r="F44" s="8" t="n">
        <v>0</v>
      </c>
      <c r="G44" s="6" t="inlineStr">
        <is>
          <t>H-50</t>
        </is>
      </c>
      <c r="H44" s="6" t="inlineStr">
        <is>
          <t>NaN</t>
        </is>
      </c>
      <c r="I44" s="6" t="inlineStr">
        <is>
          <t>NaN</t>
        </is>
      </c>
      <c r="J44" s="6" t="inlineStr">
        <is>
          <t>tcdt</t>
        </is>
      </c>
      <c r="K44" s="6" t="inlineStr">
        <is>
          <t>R</t>
        </is>
      </c>
      <c r="L44" s="6" t="inlineStr">
        <is>
          <t>V, SF</t>
        </is>
      </c>
      <c r="M44" s="6" t="inlineStr">
        <is>
          <t>BV, PT, LR, DF, DC</t>
        </is>
      </c>
      <c r="N44" s="8">
        <f t="array" ref="N44">FALSE()</f>
        <v/>
      </c>
      <c r="O44" s="6" t="inlineStr">
        <is>
          <t>H = height of sensor, Flag DC if tcdt == DC</t>
        </is>
      </c>
    </row>
    <row r="45" ht="19.5" customHeight="1" s="9">
      <c r="A45" s="5" t="inlineStr">
        <is>
          <t>Snow Depth Sensor</t>
        </is>
      </c>
      <c r="B45" s="6" t="inlineStr">
        <is>
          <t>SnowVue10</t>
        </is>
      </c>
      <c r="C45" s="6" t="inlineStr">
        <is>
          <t>dt</t>
        </is>
      </c>
      <c r="D45" s="6" t="inlineStr">
        <is>
          <t>Distance to target</t>
        </is>
      </c>
      <c r="E45" s="6" t="inlineStr">
        <is>
          <t>cm</t>
        </is>
      </c>
      <c r="F45" s="8" t="n">
        <v>40</v>
      </c>
      <c r="G45" s="8" t="n">
        <v>1000</v>
      </c>
      <c r="H45" s="6" t="inlineStr">
        <is>
          <t>NaN</t>
        </is>
      </c>
      <c r="I45" s="6" t="inlineStr">
        <is>
          <t>NaN</t>
        </is>
      </c>
      <c r="J45" s="6" t="inlineStr">
        <is>
          <t>None</t>
        </is>
      </c>
      <c r="K45" s="6" t="inlineStr">
        <is>
          <t>R, E</t>
        </is>
      </c>
      <c r="L45" s="6" t="inlineStr">
        <is>
          <t>V, SF</t>
        </is>
      </c>
      <c r="M45" s="6" t="inlineStr">
        <is>
          <t>BV, PT, LR</t>
        </is>
      </c>
      <c r="N45" s="8">
        <f t="array" ref="N45">FALSE()</f>
        <v/>
      </c>
      <c r="O45" s="6" t="inlineStr">
        <is>
          <t>E if 0 (no echo detected)</t>
        </is>
      </c>
    </row>
    <row r="46" ht="19.5" customHeight="1" s="9">
      <c r="A46" s="5" t="inlineStr">
        <is>
          <t>Snow Depth Sensor</t>
        </is>
      </c>
      <c r="B46" s="6" t="inlineStr">
        <is>
          <t>SnowVue10</t>
        </is>
      </c>
      <c r="C46" s="6" t="inlineStr">
        <is>
          <t>q</t>
        </is>
      </c>
      <c r="D46" s="6" t="inlineStr">
        <is>
          <t>Quality number</t>
        </is>
      </c>
      <c r="E46" s="6" t="inlineStr">
        <is>
          <t>unitless</t>
        </is>
      </c>
      <c r="F46" s="8" t="n">
        <v>0</v>
      </c>
      <c r="G46" s="8" t="n">
        <v>600</v>
      </c>
      <c r="H46" s="8" t="n">
        <v>100</v>
      </c>
      <c r="I46" s="8" t="n">
        <v>600</v>
      </c>
      <c r="J46" s="6" t="inlineStr">
        <is>
          <t>dt</t>
        </is>
      </c>
      <c r="K46" s="6" t="inlineStr">
        <is>
          <t>R, C, E</t>
        </is>
      </c>
      <c r="L46" s="6" t="inlineStr">
        <is>
          <t>V, SF</t>
        </is>
      </c>
      <c r="M46" s="6" t="inlineStr">
        <is>
          <t>BV, PT, LR, DF</t>
        </is>
      </c>
      <c r="N46" s="8">
        <f t="array" ref="N46">FALSE()</f>
        <v/>
      </c>
      <c r="O46" s="6" t="inlineStr">
        <is>
          <t>E if 0, C if &gt; 100 (uncertain)</t>
        </is>
      </c>
    </row>
    <row r="47" ht="19.5" customHeight="1" s="9">
      <c r="A47" s="5" t="inlineStr">
        <is>
          <t>Snow Depth Sensor</t>
        </is>
      </c>
      <c r="B47" s="6" t="inlineStr">
        <is>
          <t>SnowVue10</t>
        </is>
      </c>
      <c r="C47" s="6" t="inlineStr">
        <is>
          <t>tcdt</t>
        </is>
      </c>
      <c r="D47" s="6" t="inlineStr">
        <is>
          <t>Temperature corrected distance to target</t>
        </is>
      </c>
      <c r="E47" s="6" t="inlineStr">
        <is>
          <t>cm</t>
        </is>
      </c>
      <c r="F47" s="8" t="n">
        <v>40</v>
      </c>
      <c r="G47" s="8" t="n">
        <v>1000</v>
      </c>
      <c r="H47" s="6" t="inlineStr">
        <is>
          <t>NaN</t>
        </is>
      </c>
      <c r="I47" s="6" t="inlineStr">
        <is>
          <t>NaN</t>
        </is>
      </c>
      <c r="J47" s="6" t="inlineStr">
        <is>
          <t>svtmp, q, dt</t>
        </is>
      </c>
      <c r="K47" s="6" t="inlineStr">
        <is>
          <t>R, E</t>
        </is>
      </c>
      <c r="L47" s="6" t="inlineStr">
        <is>
          <t>V, SF</t>
        </is>
      </c>
      <c r="M47" s="6" t="inlineStr">
        <is>
          <t>BV, PT, LR, DF, DC</t>
        </is>
      </c>
      <c r="N47" s="8">
        <f t="array" ref="N47">FALSE()</f>
        <v/>
      </c>
      <c r="O47" s="6" t="inlineStr">
        <is>
          <t>Flag DC if q == C</t>
        </is>
      </c>
    </row>
    <row r="48" ht="19.5" customHeight="1" s="9">
      <c r="A48" s="5" t="inlineStr">
        <is>
          <t>Snow Depth Sensor</t>
        </is>
      </c>
      <c r="B48" s="6" t="inlineStr">
        <is>
          <t>SnowVue10</t>
        </is>
      </c>
      <c r="C48" s="6" t="inlineStr">
        <is>
          <t>snow</t>
        </is>
      </c>
      <c r="D48" s="6" t="inlineStr">
        <is>
          <t>Snow depth</t>
        </is>
      </c>
      <c r="E48" s="6" t="inlineStr">
        <is>
          <t>cm</t>
        </is>
      </c>
      <c r="F48" s="8" t="n">
        <v>0</v>
      </c>
      <c r="G48" s="6" t="inlineStr">
        <is>
          <t>H-40</t>
        </is>
      </c>
      <c r="H48" s="6" t="inlineStr">
        <is>
          <t>NaN</t>
        </is>
      </c>
      <c r="I48" s="6" t="inlineStr">
        <is>
          <t>NaN</t>
        </is>
      </c>
      <c r="J48" s="6" t="inlineStr">
        <is>
          <t>tcdt, q, sv_alert, sv_volt, sv_freq, sv_roll, sv_pitch</t>
        </is>
      </c>
      <c r="K48" s="6" t="inlineStr">
        <is>
          <t>R</t>
        </is>
      </c>
      <c r="L48" s="6" t="inlineStr">
        <is>
          <t>V, SF</t>
        </is>
      </c>
      <c r="M48" s="6" t="inlineStr">
        <is>
          <t>BV, PT, LR, DF, DC, T</t>
        </is>
      </c>
      <c r="N48" s="8">
        <f t="array" ref="N48">FALSE()</f>
        <v/>
      </c>
      <c r="O48" s="6" t="inlineStr">
        <is>
          <t>H = height of sensor, Flag DC if tcdt == DC, flag T if sv_pitch OR sv_roll &gt; 10; NOTE: all but q and svtmp are diagnostic dependencies</t>
        </is>
      </c>
    </row>
    <row r="49" ht="19.5" customHeight="1" s="9">
      <c r="A49" s="5" t="inlineStr">
        <is>
          <t>Snow Depth Sensor</t>
        </is>
      </c>
      <c r="B49" s="6" t="inlineStr">
        <is>
          <t>SnowVue10</t>
        </is>
      </c>
      <c r="C49" s="6" t="inlineStr">
        <is>
          <t>svtmp</t>
        </is>
      </c>
      <c r="D49" s="6" t="inlineStr">
        <is>
          <t>Air temperature of SnowView</t>
        </is>
      </c>
      <c r="E49" s="6" t="inlineStr">
        <is>
          <t>DegC</t>
        </is>
      </c>
      <c r="F49" s="8" t="n">
        <v>-45</v>
      </c>
      <c r="G49" s="8" t="n">
        <v>50</v>
      </c>
      <c r="H49" s="6" t="inlineStr">
        <is>
          <t>NaN</t>
        </is>
      </c>
      <c r="I49" s="6" t="inlineStr">
        <is>
          <t>NaN</t>
        </is>
      </c>
      <c r="J49" s="6" t="inlineStr">
        <is>
          <t>None</t>
        </is>
      </c>
      <c r="K49" s="6" t="inlineStr">
        <is>
          <t>R</t>
        </is>
      </c>
      <c r="L49" s="6" t="inlineStr">
        <is>
          <t>V</t>
        </is>
      </c>
      <c r="M49" s="6" t="inlineStr">
        <is>
          <t>BV, PT, LR</t>
        </is>
      </c>
      <c r="N49" s="8">
        <f t="array" ref="N49">FALSE()</f>
        <v/>
      </c>
      <c r="O49" s="8" t="n"/>
    </row>
    <row r="50" ht="19.5" customHeight="1" s="9">
      <c r="A50" s="5" t="inlineStr">
        <is>
          <t>Snow Depth Sensor</t>
        </is>
      </c>
      <c r="B50" s="6" t="inlineStr">
        <is>
          <t>SnowVue10</t>
        </is>
      </c>
      <c r="C50" s="6" t="inlineStr">
        <is>
          <t>sv_rh</t>
        </is>
      </c>
      <c r="D50" s="6" t="inlineStr">
        <is>
          <t>Relative humidity of SnowView</t>
        </is>
      </c>
      <c r="E50" s="6" t="inlineStr">
        <is>
          <t>%</t>
        </is>
      </c>
      <c r="F50" s="6" t="inlineStr">
        <is>
          <t>NaN</t>
        </is>
      </c>
      <c r="G50" s="6" t="inlineStr">
        <is>
          <t>NaN</t>
        </is>
      </c>
      <c r="H50" s="8" t="n">
        <v>0</v>
      </c>
      <c r="I50" s="8" t="n">
        <v>70</v>
      </c>
      <c r="J50" s="6" t="inlineStr">
        <is>
          <t>None</t>
        </is>
      </c>
      <c r="K50" s="6" t="inlineStr">
        <is>
          <t>C</t>
        </is>
      </c>
      <c r="L50" s="6" t="inlineStr">
        <is>
          <t>V</t>
        </is>
      </c>
      <c r="M50" s="6" t="inlineStr">
        <is>
          <t>BV, PT, LR</t>
        </is>
      </c>
      <c r="N50" s="8">
        <f t="array" ref="N50">FALSE()</f>
        <v/>
      </c>
      <c r="O50" s="6" t="inlineStr">
        <is>
          <t>Used as a diagnistic for internal moisture</t>
        </is>
      </c>
    </row>
    <row r="51" ht="19.5" customHeight="1" s="9">
      <c r="A51" s="5" t="inlineStr">
        <is>
          <t>Snow Depth Sensor</t>
        </is>
      </c>
      <c r="B51" s="6" t="inlineStr">
        <is>
          <t>SnowVue10</t>
        </is>
      </c>
      <c r="C51" s="6" t="inlineStr">
        <is>
          <t>sv_pitch</t>
        </is>
      </c>
      <c r="D51" s="6" t="inlineStr">
        <is>
          <t>SnowVue Pitch</t>
        </is>
      </c>
      <c r="E51" s="6" t="inlineStr">
        <is>
          <t>deg</t>
        </is>
      </c>
      <c r="F51" s="6" t="inlineStr">
        <is>
          <t>NaN</t>
        </is>
      </c>
      <c r="G51" s="6" t="inlineStr">
        <is>
          <t>NaN</t>
        </is>
      </c>
      <c r="H51" s="8" t="n">
        <v>0</v>
      </c>
      <c r="I51" s="8" t="n">
        <v>10</v>
      </c>
      <c r="J51" s="6" t="inlineStr">
        <is>
          <t>None</t>
        </is>
      </c>
      <c r="K51" s="6" t="inlineStr">
        <is>
          <t>C</t>
        </is>
      </c>
      <c r="L51" s="6" t="inlineStr">
        <is>
          <t>V</t>
        </is>
      </c>
      <c r="M51" s="6" t="inlineStr">
        <is>
          <t>BV, PT, LR</t>
        </is>
      </c>
      <c r="N51" s="8">
        <f t="array" ref="N51">FALSE()</f>
        <v/>
      </c>
      <c r="O51" s="8" t="n"/>
    </row>
    <row r="52" ht="19.5" customHeight="1" s="9">
      <c r="A52" s="5" t="inlineStr">
        <is>
          <t>Snow Depth Sensor</t>
        </is>
      </c>
      <c r="B52" s="6" t="inlineStr">
        <is>
          <t>SnowVue10</t>
        </is>
      </c>
      <c r="C52" s="6" t="inlineStr">
        <is>
          <t>sv_roll</t>
        </is>
      </c>
      <c r="D52" s="6" t="inlineStr">
        <is>
          <t>SnowVue Roll</t>
        </is>
      </c>
      <c r="E52" s="6" t="inlineStr">
        <is>
          <t>deg</t>
        </is>
      </c>
      <c r="F52" s="6" t="inlineStr">
        <is>
          <t>NaN</t>
        </is>
      </c>
      <c r="G52" s="6" t="inlineStr">
        <is>
          <t>NaN</t>
        </is>
      </c>
      <c r="H52" s="8" t="n">
        <v>0</v>
      </c>
      <c r="I52" s="8" t="n">
        <v>10</v>
      </c>
      <c r="J52" s="6" t="inlineStr">
        <is>
          <t>None</t>
        </is>
      </c>
      <c r="K52" s="6" t="inlineStr">
        <is>
          <t>C</t>
        </is>
      </c>
      <c r="L52" s="6" t="inlineStr">
        <is>
          <t>V</t>
        </is>
      </c>
      <c r="M52" s="6" t="inlineStr">
        <is>
          <t>BV, PT, LR</t>
        </is>
      </c>
      <c r="N52" s="8">
        <f t="array" ref="N52">FALSE()</f>
        <v/>
      </c>
      <c r="O52" s="8" t="n"/>
    </row>
    <row r="53" ht="19.5" customHeight="1" s="9">
      <c r="A53" s="5" t="inlineStr">
        <is>
          <t>Snow Depth Sensor</t>
        </is>
      </c>
      <c r="B53" s="6" t="inlineStr">
        <is>
          <t>SnowVue10</t>
        </is>
      </c>
      <c r="C53" s="6" t="inlineStr">
        <is>
          <t>sv_volt</t>
        </is>
      </c>
      <c r="D53" s="6" t="inlineStr">
        <is>
          <t>Supply voltage</t>
        </is>
      </c>
      <c r="E53" s="6" t="inlineStr">
        <is>
          <t>V</t>
        </is>
      </c>
      <c r="F53" s="6" t="inlineStr">
        <is>
          <t>NaN</t>
        </is>
      </c>
      <c r="G53" s="6" t="inlineStr">
        <is>
          <t>NaN</t>
        </is>
      </c>
      <c r="H53" s="8" t="n">
        <v>5.5</v>
      </c>
      <c r="I53" s="8" t="n">
        <v>24</v>
      </c>
      <c r="J53" s="6" t="inlineStr">
        <is>
          <t>None</t>
        </is>
      </c>
      <c r="K53" s="6" t="inlineStr">
        <is>
          <t>C</t>
        </is>
      </c>
      <c r="L53" s="6" t="inlineStr">
        <is>
          <t>V</t>
        </is>
      </c>
      <c r="M53" s="6" t="inlineStr">
        <is>
          <t>BV, PT, LR</t>
        </is>
      </c>
      <c r="N53" s="8">
        <f t="array" ref="N53">FALSE()</f>
        <v/>
      </c>
      <c r="O53" s="8" t="n"/>
    </row>
    <row r="54" ht="19.5" customHeight="1" s="9">
      <c r="A54" s="5" t="inlineStr">
        <is>
          <t>Snow Depth Sensor</t>
        </is>
      </c>
      <c r="B54" s="6" t="inlineStr">
        <is>
          <t>SnowVue10</t>
        </is>
      </c>
      <c r="C54" s="6" t="inlineStr">
        <is>
          <t>sv_freq</t>
        </is>
      </c>
      <c r="D54" s="6" t="inlineStr">
        <is>
          <t>Resonant Frequency</t>
        </is>
      </c>
      <c r="E54" s="6" t="inlineStr">
        <is>
          <t>kHz</t>
        </is>
      </c>
      <c r="F54" s="6" t="inlineStr">
        <is>
          <t>NaN</t>
        </is>
      </c>
      <c r="G54" s="6" t="inlineStr">
        <is>
          <t>NaN</t>
        </is>
      </c>
      <c r="H54" s="8" t="n">
        <v>40</v>
      </c>
      <c r="I54" s="8" t="n">
        <v>60</v>
      </c>
      <c r="J54" s="6" t="inlineStr">
        <is>
          <t>None</t>
        </is>
      </c>
      <c r="K54" s="6" t="inlineStr">
        <is>
          <t>C</t>
        </is>
      </c>
      <c r="L54" s="6" t="inlineStr">
        <is>
          <t>V</t>
        </is>
      </c>
      <c r="M54" s="6" t="inlineStr">
        <is>
          <t>BV, PT, LR</t>
        </is>
      </c>
      <c r="N54" s="8">
        <f t="array" ref="N54">FALSE()</f>
        <v/>
      </c>
      <c r="O54" s="8" t="n"/>
    </row>
    <row r="55" ht="19.5" customHeight="1" s="9">
      <c r="A55" s="5" t="inlineStr">
        <is>
          <t>Snow Depth Sensor</t>
        </is>
      </c>
      <c r="B55" s="6" t="inlineStr">
        <is>
          <t>SnowVue10</t>
        </is>
      </c>
      <c r="C55" s="6" t="inlineStr">
        <is>
          <t>sv_alert</t>
        </is>
      </c>
      <c r="D55" s="6" t="inlineStr">
        <is>
          <t>Alert Flag</t>
        </is>
      </c>
      <c r="E55" s="6" t="inlineStr">
        <is>
          <t>unitless</t>
        </is>
      </c>
      <c r="F55" s="6" t="inlineStr">
        <is>
          <t>NaN</t>
        </is>
      </c>
      <c r="G55" s="6" t="inlineStr">
        <is>
          <t>NaN</t>
        </is>
      </c>
      <c r="H55" s="6" t="inlineStr">
        <is>
          <t>NaN</t>
        </is>
      </c>
      <c r="I55" s="6" t="inlineStr">
        <is>
          <t>NaN</t>
        </is>
      </c>
      <c r="J55" s="6" t="inlineStr">
        <is>
          <t>None</t>
        </is>
      </c>
      <c r="K55" s="6" t="inlineStr">
        <is>
          <t>E</t>
        </is>
      </c>
      <c r="L55" s="6" t="inlineStr">
        <is>
          <t>V</t>
        </is>
      </c>
      <c r="M55" s="6" t="inlineStr">
        <is>
          <t>BV, PT, LR</t>
        </is>
      </c>
      <c r="N55" s="8">
        <f t="array" ref="N55">FALSE()</f>
        <v/>
      </c>
      <c r="O55" s="6" t="inlineStr">
        <is>
          <t>E if 1</t>
        </is>
      </c>
    </row>
    <row r="56" ht="19.5" customHeight="1" s="9">
      <c r="A56" s="5" t="inlineStr">
        <is>
          <t>Frost Probe</t>
        </is>
      </c>
      <c r="B56" s="6" t="inlineStr">
        <is>
          <t>CS231</t>
        </is>
      </c>
      <c r="C56" s="6" t="inlineStr">
        <is>
          <t>gtmp</t>
        </is>
      </c>
      <c r="D56" s="6" t="inlineStr">
        <is>
          <t>Ground temperature at various depths</t>
        </is>
      </c>
      <c r="E56" s="6" t="inlineStr">
        <is>
          <t>degC</t>
        </is>
      </c>
      <c r="F56" s="8" t="n">
        <v>-55</v>
      </c>
      <c r="G56" s="8" t="n">
        <v>85</v>
      </c>
      <c r="H56" s="6" t="inlineStr">
        <is>
          <t>NaN</t>
        </is>
      </c>
      <c r="I56" s="6" t="inlineStr">
        <is>
          <t>NaN</t>
        </is>
      </c>
      <c r="J56" s="6" t="inlineStr">
        <is>
          <t>None</t>
        </is>
      </c>
      <c r="K56" s="6" t="inlineStr">
        <is>
          <t>R</t>
        </is>
      </c>
      <c r="L56" s="6" t="inlineStr">
        <is>
          <t>V</t>
        </is>
      </c>
      <c r="M56" s="6" t="inlineStr">
        <is>
          <t>BV, PT, LR</t>
        </is>
      </c>
      <c r="N56" s="8">
        <f t="array" ref="N56">FALSE()</f>
        <v/>
      </c>
      <c r="O56" s="8" t="n"/>
    </row>
    <row r="57" ht="19.5" customHeight="1" s="9">
      <c r="A57" s="5" t="inlineStr">
        <is>
          <t>Anemometer</t>
        </is>
      </c>
      <c r="B57" s="8" t="n">
        <v>5103</v>
      </c>
      <c r="C57" s="6" t="inlineStr">
        <is>
          <t>wind</t>
        </is>
      </c>
      <c r="D57" s="6" t="inlineStr">
        <is>
          <t>Wind speed</t>
        </is>
      </c>
      <c r="E57" s="6" t="inlineStr">
        <is>
          <t>m/s</t>
        </is>
      </c>
      <c r="F57" s="8" t="n">
        <v>0</v>
      </c>
      <c r="G57" s="8" t="n">
        <v>100</v>
      </c>
      <c r="H57" s="8" t="n">
        <v>0</v>
      </c>
      <c r="I57" s="8" t="n">
        <v>50</v>
      </c>
      <c r="J57" s="6" t="inlineStr">
        <is>
          <t>None</t>
        </is>
      </c>
      <c r="K57" s="6" t="inlineStr">
        <is>
          <t>R, E</t>
        </is>
      </c>
      <c r="L57" s="6" t="inlineStr">
        <is>
          <t>V</t>
        </is>
      </c>
      <c r="M57" s="6" t="inlineStr">
        <is>
          <t>BV, PT, LR</t>
        </is>
      </c>
      <c r="N57" s="8">
        <f t="array" ref="N57">FALSE()</f>
        <v/>
      </c>
      <c r="O57" s="6" t="inlineStr">
        <is>
          <t>RM Young 05103 range 0-100 m/s; starting threshold 1.0 m/s; op temp -50 to +50 C, E if -9999</t>
        </is>
      </c>
    </row>
    <row r="58" ht="19.5" customHeight="1" s="9">
      <c r="A58" s="5" t="inlineStr">
        <is>
          <t>Anemometer</t>
        </is>
      </c>
      <c r="B58" s="8" t="n">
        <v>5103</v>
      </c>
      <c r="C58" s="6" t="inlineStr">
        <is>
          <t>wind_dir</t>
        </is>
      </c>
      <c r="D58" s="6" t="inlineStr">
        <is>
          <t>Wind direction</t>
        </is>
      </c>
      <c r="E58" s="6" t="inlineStr">
        <is>
          <t>deg</t>
        </is>
      </c>
      <c r="F58" s="8" t="n">
        <v>0</v>
      </c>
      <c r="G58" s="8" t="n">
        <v>360</v>
      </c>
      <c r="H58" s="6" t="inlineStr">
        <is>
          <t>NaN</t>
        </is>
      </c>
      <c r="I58" s="6" t="inlineStr">
        <is>
          <t>NaN</t>
        </is>
      </c>
      <c r="J58" s="6" t="inlineStr">
        <is>
          <t>wind</t>
        </is>
      </c>
      <c r="K58" s="6" t="inlineStr">
        <is>
          <t>R, E</t>
        </is>
      </c>
      <c r="L58" s="6" t="inlineStr">
        <is>
          <t>V, NV</t>
        </is>
      </c>
      <c r="M58" s="6" t="inlineStr">
        <is>
          <t>BV, PT, LR, DF</t>
        </is>
      </c>
      <c r="N58" s="8">
        <f t="array" ref="N58">FALSE()</f>
        <v/>
      </c>
      <c r="O58" s="6" t="inlineStr">
        <is>
          <t>Mechanical range 0-355 deg with 5 deg open; valid only if wind &gt; 1.1 m/s (dir starting threshold), E if -9999</t>
        </is>
      </c>
    </row>
    <row r="59" ht="19.5" customHeight="1" s="9">
      <c r="A59" s="5" t="inlineStr">
        <is>
          <t>Anemometer</t>
        </is>
      </c>
      <c r="B59" s="8" t="n">
        <v>5103</v>
      </c>
      <c r="C59" s="6" t="inlineStr">
        <is>
          <t>wind_dir_avg</t>
        </is>
      </c>
      <c r="D59" s="6" t="inlineStr">
        <is>
          <t>Wind direction (vector average)</t>
        </is>
      </c>
      <c r="E59" s="6" t="inlineStr">
        <is>
          <t>deg</t>
        </is>
      </c>
      <c r="F59" s="8" t="n">
        <v>0</v>
      </c>
      <c r="G59" s="8" t="n">
        <v>360</v>
      </c>
      <c r="H59" s="6" t="inlineStr">
        <is>
          <t>NaN</t>
        </is>
      </c>
      <c r="I59" s="6" t="inlineStr">
        <is>
          <t>NaN</t>
        </is>
      </c>
      <c r="J59" s="6" t="inlineStr">
        <is>
          <t>wind</t>
        </is>
      </c>
      <c r="K59" s="6" t="inlineStr">
        <is>
          <t>R, E</t>
        </is>
      </c>
      <c r="L59" s="6" t="inlineStr">
        <is>
          <t>V, NV</t>
        </is>
      </c>
      <c r="M59" s="6" t="inlineStr">
        <is>
          <t>BV, PT, LR, DF</t>
        </is>
      </c>
      <c r="N59" s="8">
        <f t="array" ref="N59">FALSE()</f>
        <v/>
      </c>
      <c r="O59" s="6" t="inlineStr">
        <is>
          <t>Vector-averaged direction; valid only if wind &gt; 0, E if -9999</t>
        </is>
      </c>
    </row>
    <row r="60" ht="19.5" customHeight="1" s="9">
      <c r="A60" s="5" t="inlineStr">
        <is>
          <t>Anemometer</t>
        </is>
      </c>
      <c r="B60" s="8" t="n">
        <v>5103</v>
      </c>
      <c r="C60" s="6" t="inlineStr">
        <is>
          <t>wind_sd</t>
        </is>
      </c>
      <c r="D60" s="6" t="inlineStr">
        <is>
          <t>Standard deviation of wind speed</t>
        </is>
      </c>
      <c r="E60" s="6" t="inlineStr">
        <is>
          <t>m/s</t>
        </is>
      </c>
      <c r="F60" s="6" t="inlineStr">
        <is>
          <t>NaN</t>
        </is>
      </c>
      <c r="G60" s="6" t="inlineStr">
        <is>
          <t>NaN</t>
        </is>
      </c>
      <c r="H60" s="6" t="inlineStr">
        <is>
          <t>NaN</t>
        </is>
      </c>
      <c r="I60" s="6" t="inlineStr">
        <is>
          <t>NaN</t>
        </is>
      </c>
      <c r="J60" s="6" t="inlineStr">
        <is>
          <t>wind</t>
        </is>
      </c>
      <c r="K60" s="6" t="inlineStr">
        <is>
          <t>E</t>
        </is>
      </c>
      <c r="L60" s="6" t="inlineStr">
        <is>
          <t>V, NV</t>
        </is>
      </c>
      <c r="M60" s="6" t="inlineStr">
        <is>
          <t>BV, PT, LR, DF</t>
        </is>
      </c>
      <c r="N60" s="8">
        <f t="array" ref="N60">FALSE()</f>
        <v/>
      </c>
      <c r="O60" s="6" t="inlineStr">
        <is>
          <t>Valid only if wind &gt; 0, E if -9999</t>
        </is>
      </c>
    </row>
    <row r="61" ht="19.5" customHeight="1" s="9">
      <c r="A61" s="5" t="inlineStr">
        <is>
          <t>Anemometer</t>
        </is>
      </c>
      <c r="B61" s="8" t="n">
        <v>5103</v>
      </c>
      <c r="C61" s="6" t="inlineStr">
        <is>
          <t>wind_dir_sd</t>
        </is>
      </c>
      <c r="D61" s="6" t="inlineStr">
        <is>
          <t>Standard deviation of wind direction</t>
        </is>
      </c>
      <c r="E61" s="6" t="inlineStr">
        <is>
          <t>deg</t>
        </is>
      </c>
      <c r="F61" s="6" t="inlineStr">
        <is>
          <t>NaN</t>
        </is>
      </c>
      <c r="G61" s="6" t="inlineStr">
        <is>
          <t>NaN</t>
        </is>
      </c>
      <c r="H61" s="6" t="inlineStr">
        <is>
          <t>NaN</t>
        </is>
      </c>
      <c r="I61" s="6" t="inlineStr">
        <is>
          <t>NaN</t>
        </is>
      </c>
      <c r="J61" s="6" t="inlineStr">
        <is>
          <t>wind_dir</t>
        </is>
      </c>
      <c r="K61" s="6" t="inlineStr">
        <is>
          <t>E</t>
        </is>
      </c>
      <c r="L61" s="6" t="inlineStr">
        <is>
          <t>V, NV</t>
        </is>
      </c>
      <c r="M61" s="6" t="inlineStr">
        <is>
          <t>BV, PT, LR, DF</t>
        </is>
      </c>
      <c r="N61" s="8">
        <f t="array" ref="N61">FALSE()</f>
        <v/>
      </c>
      <c r="O61" s="6" t="inlineStr">
        <is>
          <t>Valid only if wind_dir valid (i.e., wind &gt; 0), E if -9999</t>
        </is>
      </c>
    </row>
    <row r="62" ht="19.5" customHeight="1" s="9">
      <c r="A62" s="5" t="inlineStr">
        <is>
          <t>Compact Digital Weather Sensor</t>
        </is>
      </c>
      <c r="B62" s="6" t="inlineStr">
        <is>
          <t>ClimaVue50 G2</t>
        </is>
      </c>
      <c r="C62" s="6" t="inlineStr">
        <is>
          <t>atmp_2m</t>
        </is>
      </c>
      <c r="D62" s="6" t="inlineStr">
        <is>
          <t>Air temperature</t>
        </is>
      </c>
      <c r="E62" s="6" t="inlineStr">
        <is>
          <t>degC</t>
        </is>
      </c>
      <c r="F62" s="8" t="n">
        <v>-50</v>
      </c>
      <c r="G62" s="8" t="n">
        <v>60</v>
      </c>
      <c r="H62" s="6" t="inlineStr">
        <is>
          <t>NaN</t>
        </is>
      </c>
      <c r="I62" s="6" t="inlineStr">
        <is>
          <t>NaN</t>
        </is>
      </c>
      <c r="J62" s="6" t="inlineStr">
        <is>
          <t>slr_fd, wind</t>
        </is>
      </c>
      <c r="K62" s="6" t="inlineStr">
        <is>
          <t>E, R</t>
        </is>
      </c>
      <c r="L62" s="6" t="inlineStr">
        <is>
          <t>V</t>
        </is>
      </c>
      <c r="M62" s="6" t="inlineStr">
        <is>
          <t>BV, PT, LR, DF, DC</t>
        </is>
      </c>
      <c r="N62" s="8">
        <f t="array" ref="N62">FALSE()</f>
        <v/>
      </c>
      <c r="O62" s="6" t="inlineStr">
        <is>
          <t>Air temperature corrected by energy balance equation, flag DC if slr_fd == DC or T, E if -9999</t>
        </is>
      </c>
    </row>
    <row r="63" ht="19.5" customHeight="1" s="9">
      <c r="A63" s="5" t="inlineStr">
        <is>
          <t>Compact Digital Weather Sensor</t>
        </is>
      </c>
      <c r="B63" s="6" t="inlineStr">
        <is>
          <t>ClimaVue50 G2</t>
        </is>
      </c>
      <c r="C63" s="6" t="inlineStr">
        <is>
          <t>rh_tmp</t>
        </is>
      </c>
      <c r="D63" s="6" t="inlineStr">
        <is>
          <t>Relative humidity probe temperature</t>
        </is>
      </c>
      <c r="E63" s="6" t="inlineStr">
        <is>
          <t>degC</t>
        </is>
      </c>
      <c r="F63" s="8" t="n">
        <v>-40</v>
      </c>
      <c r="G63" s="8" t="n">
        <v>60</v>
      </c>
      <c r="H63" s="6" t="inlineStr">
        <is>
          <t>NaN</t>
        </is>
      </c>
      <c r="I63" s="6" t="inlineStr">
        <is>
          <t>NaN</t>
        </is>
      </c>
      <c r="J63" s="6" t="inlineStr">
        <is>
          <t>None</t>
        </is>
      </c>
      <c r="K63" s="6" t="inlineStr">
        <is>
          <t>R, E</t>
        </is>
      </c>
      <c r="L63" s="6" t="inlineStr">
        <is>
          <t>V</t>
        </is>
      </c>
      <c r="M63" s="6" t="inlineStr">
        <is>
          <t>BV, PT, LR</t>
        </is>
      </c>
      <c r="N63" s="8">
        <f t="array" ref="N63">FALSE()</f>
        <v/>
      </c>
      <c r="O63" s="8" t="n"/>
    </row>
    <row r="64" ht="19.5" customHeight="1" s="9">
      <c r="A64" s="5" t="inlineStr">
        <is>
          <t>Compact Digital Weather Sensor</t>
        </is>
      </c>
      <c r="B64" s="6" t="inlineStr">
        <is>
          <t>ClimaVue50 G2</t>
        </is>
      </c>
      <c r="C64" s="6" t="inlineStr">
        <is>
          <t>slr_fd</t>
        </is>
      </c>
      <c r="D64" s="6" t="inlineStr">
        <is>
          <t>Solar flux density</t>
        </is>
      </c>
      <c r="E64" s="6" t="inlineStr">
        <is>
          <t>W/m^2</t>
        </is>
      </c>
      <c r="F64" s="8" t="n">
        <v>0</v>
      </c>
      <c r="G64" s="8" t="n">
        <v>1750</v>
      </c>
      <c r="H64" s="8" t="n">
        <v>0</v>
      </c>
      <c r="I64" s="8" t="n">
        <v>1360</v>
      </c>
      <c r="J64" s="6" t="inlineStr">
        <is>
          <t>tilt_ns, tilt_we</t>
        </is>
      </c>
      <c r="K64" s="6" t="inlineStr">
        <is>
          <t>R, E, C</t>
        </is>
      </c>
      <c r="L64" s="6" t="inlineStr">
        <is>
          <t>V, Z</t>
        </is>
      </c>
      <c r="M64" s="6" t="inlineStr">
        <is>
          <t>BV, PT, LR, DC, T</t>
        </is>
      </c>
      <c r="N64" s="8">
        <f t="array" ref="N64">FALSE()</f>
        <v/>
      </c>
      <c r="O64" s="6" t="inlineStr">
        <is>
          <t>T flag if tilt &gt; |3deg| &lt; |R| (i.e., C), DC flag if &gt; |90| (i.e., R), flag z &gt; 0 at night, E if -9999</t>
        </is>
      </c>
    </row>
    <row r="65" ht="19.5" customHeight="1" s="9">
      <c r="A65" s="5" t="inlineStr">
        <is>
          <t>Compact Digital Weather Sensor</t>
        </is>
      </c>
      <c r="B65" s="6" t="inlineStr">
        <is>
          <t>ClimaVue50 G2</t>
        </is>
      </c>
      <c r="C65" s="6" t="inlineStr">
        <is>
          <t>rain</t>
        </is>
      </c>
      <c r="D65" s="6" t="inlineStr">
        <is>
          <t>Total rainfall</t>
        </is>
      </c>
      <c r="E65" s="6" t="inlineStr">
        <is>
          <t>mm</t>
        </is>
      </c>
      <c r="F65" s="8" t="n">
        <v>0</v>
      </c>
      <c r="G65" s="8" t="n">
        <v>100</v>
      </c>
      <c r="H65" s="8" t="n">
        <v>0</v>
      </c>
      <c r="I65" s="8" t="n">
        <v>12.5</v>
      </c>
      <c r="J65" s="6" t="inlineStr">
        <is>
          <t>tilt_ns, tilt_we</t>
        </is>
      </c>
      <c r="K65" s="6" t="inlineStr">
        <is>
          <t>R, E, C</t>
        </is>
      </c>
      <c r="L65" s="6" t="inlineStr">
        <is>
          <t>V</t>
        </is>
      </c>
      <c r="M65" s="6" t="inlineStr">
        <is>
          <t>BV, PT, LR, DC, T</t>
        </is>
      </c>
      <c r="N65" s="8">
        <f t="array" ref="N65">FALSE()</f>
        <v/>
      </c>
      <c r="O65" s="6" t="inlineStr">
        <is>
          <t>T flag if tilt &gt; |3deg| &lt; |R| (i.e., C), DC flag if &gt; |90| (i.e., R), max intensity ~400 mm/hr, E if -9999</t>
        </is>
      </c>
    </row>
    <row r="66" ht="19.5" customHeight="1" s="9">
      <c r="A66" s="5" t="inlineStr">
        <is>
          <t>Compact Digital Weather Sensor</t>
        </is>
      </c>
      <c r="B66" s="6" t="inlineStr">
        <is>
          <t>ClimaVue50 G2</t>
        </is>
      </c>
      <c r="C66" s="6" t="inlineStr">
        <is>
          <t>strikes</t>
        </is>
      </c>
      <c r="D66" s="6" t="inlineStr">
        <is>
          <t>Total lightning strikes</t>
        </is>
      </c>
      <c r="E66" s="6" t="inlineStr">
        <is>
          <t>count</t>
        </is>
      </c>
      <c r="F66" s="8" t="n">
        <v>0</v>
      </c>
      <c r="G66" s="8" t="n">
        <v>65535</v>
      </c>
      <c r="H66" s="6" t="inlineStr">
        <is>
          <t>NaN</t>
        </is>
      </c>
      <c r="I66" s="6" t="inlineStr">
        <is>
          <t>NaN</t>
        </is>
      </c>
      <c r="J66" s="6" t="inlineStr">
        <is>
          <t>None</t>
        </is>
      </c>
      <c r="K66" s="6" t="inlineStr">
        <is>
          <t>R, E</t>
        </is>
      </c>
      <c r="L66" s="6" t="inlineStr">
        <is>
          <t>V</t>
        </is>
      </c>
      <c r="M66" s="6" t="inlineStr">
        <is>
          <t>BV, PT, LR</t>
        </is>
      </c>
      <c r="N66" s="8">
        <f t="array" ref="N66">FALSE()</f>
        <v/>
      </c>
      <c r="O66" s="6" t="inlineStr">
        <is>
          <t>E if -9999</t>
        </is>
      </c>
    </row>
    <row r="67" ht="19.5" customHeight="1" s="9">
      <c r="A67" s="5" t="inlineStr">
        <is>
          <t>Compact Digital Weather Sensor</t>
        </is>
      </c>
      <c r="B67" s="6" t="inlineStr">
        <is>
          <t>ClimaVue50 G2</t>
        </is>
      </c>
      <c r="C67" s="6" t="inlineStr">
        <is>
          <t>strike_dist</t>
        </is>
      </c>
      <c r="D67" s="6" t="inlineStr">
        <is>
          <t>Average distance of lightning strikes</t>
        </is>
      </c>
      <c r="E67" s="6" t="inlineStr">
        <is>
          <t>km</t>
        </is>
      </c>
      <c r="F67" s="8" t="n">
        <v>0</v>
      </c>
      <c r="G67" s="8" t="n">
        <v>40</v>
      </c>
      <c r="H67" s="6" t="inlineStr">
        <is>
          <t>NaN</t>
        </is>
      </c>
      <c r="I67" s="6" t="inlineStr">
        <is>
          <t>NaN</t>
        </is>
      </c>
      <c r="J67" s="6" t="inlineStr">
        <is>
          <t>strikes</t>
        </is>
      </c>
      <c r="K67" s="6" t="inlineStr">
        <is>
          <t>R, E</t>
        </is>
      </c>
      <c r="L67" s="6" t="inlineStr">
        <is>
          <t>V, NV</t>
        </is>
      </c>
      <c r="M67" s="6" t="inlineStr">
        <is>
          <t>BV, PT, LR, DF</t>
        </is>
      </c>
      <c r="N67" s="8">
        <f t="array" ref="N67">FALSE()</f>
        <v/>
      </c>
      <c r="O67" s="6" t="inlineStr">
        <is>
          <t>Valid only if strikes &gt; 0, E if -9999</t>
        </is>
      </c>
    </row>
    <row r="68" ht="19.5" customHeight="1" s="9">
      <c r="A68" s="5" t="inlineStr">
        <is>
          <t>Compact Digital Weather Sensor</t>
        </is>
      </c>
      <c r="B68" s="6" t="inlineStr">
        <is>
          <t>ClimaVue50 G2</t>
        </is>
      </c>
      <c r="C68" s="6" t="inlineStr">
        <is>
          <t>strike_dist_max</t>
        </is>
      </c>
      <c r="D68" s="6" t="inlineStr">
        <is>
          <t>Maximum distance of lightning strike</t>
        </is>
      </c>
      <c r="E68" s="6" t="inlineStr">
        <is>
          <t>km</t>
        </is>
      </c>
      <c r="F68" s="8" t="n">
        <v>0</v>
      </c>
      <c r="G68" s="8" t="n">
        <v>40</v>
      </c>
      <c r="H68" s="6" t="inlineStr">
        <is>
          <t>NaN</t>
        </is>
      </c>
      <c r="I68" s="6" t="inlineStr">
        <is>
          <t>NaN</t>
        </is>
      </c>
      <c r="J68" s="6" t="inlineStr">
        <is>
          <t>strikes</t>
        </is>
      </c>
      <c r="K68" s="6" t="inlineStr">
        <is>
          <t>R, E</t>
        </is>
      </c>
      <c r="L68" s="6" t="inlineStr">
        <is>
          <t>V, NV</t>
        </is>
      </c>
      <c r="M68" s="6" t="inlineStr">
        <is>
          <t>BV, PT, LR, DF</t>
        </is>
      </c>
      <c r="N68" s="8">
        <f t="array" ref="N68">FALSE()</f>
        <v/>
      </c>
      <c r="O68" s="6" t="inlineStr">
        <is>
          <t>Valid only if strikes &gt; 0, E if -9999</t>
        </is>
      </c>
    </row>
    <row r="69" ht="19.5" customHeight="1" s="9">
      <c r="A69" s="5" t="inlineStr">
        <is>
          <t>Compact Digital Weather Sensor</t>
        </is>
      </c>
      <c r="B69" s="6" t="inlineStr">
        <is>
          <t>ClimaVue50 G2</t>
        </is>
      </c>
      <c r="C69" s="6" t="inlineStr">
        <is>
          <t>strike_dist_max_time</t>
        </is>
      </c>
      <c r="D69" s="6" t="inlineStr">
        <is>
          <t>Time of maximum distance lightning strike</t>
        </is>
      </c>
      <c r="E69" s="6" t="inlineStr">
        <is>
          <t>Date/Time</t>
        </is>
      </c>
      <c r="F69" s="6" t="inlineStr">
        <is>
          <t>NaN</t>
        </is>
      </c>
      <c r="G69" s="6" t="inlineStr">
        <is>
          <t>NaN</t>
        </is>
      </c>
      <c r="H69" s="6" t="inlineStr">
        <is>
          <t>NaN</t>
        </is>
      </c>
      <c r="I69" s="6" t="inlineStr">
        <is>
          <t>NaN</t>
        </is>
      </c>
      <c r="J69" s="6" t="inlineStr">
        <is>
          <t>strikes</t>
        </is>
      </c>
      <c r="K69" s="6" t="inlineStr">
        <is>
          <t>E</t>
        </is>
      </c>
      <c r="L69" s="6" t="inlineStr">
        <is>
          <t>V, NV</t>
        </is>
      </c>
      <c r="M69" s="6" t="inlineStr">
        <is>
          <t>BV, PT, LR, DF</t>
        </is>
      </c>
      <c r="N69" s="8">
        <f t="array" ref="N69">FALSE()</f>
        <v/>
      </c>
      <c r="O69" s="6" t="inlineStr">
        <is>
          <t>Ensure date/time format is correct, valid only if strikes &gt; 0, E if -9999</t>
        </is>
      </c>
    </row>
    <row r="70" ht="19.5" customHeight="1" s="9">
      <c r="A70" s="5" t="inlineStr">
        <is>
          <t>Compact Digital Weather Sensor</t>
        </is>
      </c>
      <c r="B70" s="6" t="inlineStr">
        <is>
          <t>ClimaVue50 G2</t>
        </is>
      </c>
      <c r="C70" s="6" t="inlineStr">
        <is>
          <t>wind</t>
        </is>
      </c>
      <c r="D70" s="6" t="inlineStr">
        <is>
          <t>Wind speed (ultrasonic, G2)</t>
        </is>
      </c>
      <c r="E70" s="6" t="inlineStr">
        <is>
          <t>m/s</t>
        </is>
      </c>
      <c r="F70" s="8" t="n">
        <v>0</v>
      </c>
      <c r="G70" s="8" t="n">
        <v>60</v>
      </c>
      <c r="H70" s="8" t="n">
        <v>0</v>
      </c>
      <c r="I70" s="8" t="n">
        <v>50</v>
      </c>
      <c r="J70" s="6" t="inlineStr">
        <is>
          <t>None</t>
        </is>
      </c>
      <c r="K70" s="6" t="inlineStr">
        <is>
          <t>R, E</t>
        </is>
      </c>
      <c r="L70" s="6" t="inlineStr">
        <is>
          <t>V</t>
        </is>
      </c>
      <c r="M70" s="6" t="inlineStr">
        <is>
          <t>BV, PT, LR</t>
        </is>
      </c>
      <c r="N70" s="8">
        <f t="array" ref="N70">FALSE()</f>
        <v/>
      </c>
      <c r="O70" s="6" t="inlineStr">
        <is>
          <t>G2 redesigned wind sensor 0-60 m/s (vs 0-30 on original ClimaVue50), E if -9999</t>
        </is>
      </c>
    </row>
    <row r="71" ht="19.5" customHeight="1" s="9">
      <c r="A71" s="5" t="inlineStr">
        <is>
          <t>Compact Digital Weather Sensor</t>
        </is>
      </c>
      <c r="B71" s="6" t="inlineStr">
        <is>
          <t>ClimaVue50 G2</t>
        </is>
      </c>
      <c r="C71" s="6" t="inlineStr">
        <is>
          <t>wind_dir</t>
        </is>
      </c>
      <c r="D71" s="6" t="inlineStr">
        <is>
          <t>Wind direction</t>
        </is>
      </c>
      <c r="E71" s="6" t="inlineStr">
        <is>
          <t>deg</t>
        </is>
      </c>
      <c r="F71" s="8" t="n">
        <v>0</v>
      </c>
      <c r="G71" s="8" t="n">
        <v>359</v>
      </c>
      <c r="H71" s="6" t="inlineStr">
        <is>
          <t>NaN</t>
        </is>
      </c>
      <c r="I71" s="6" t="inlineStr">
        <is>
          <t>NaN</t>
        </is>
      </c>
      <c r="J71" s="6" t="inlineStr">
        <is>
          <t>wind</t>
        </is>
      </c>
      <c r="K71" s="6" t="inlineStr">
        <is>
          <t>R, E</t>
        </is>
      </c>
      <c r="L71" s="6" t="inlineStr">
        <is>
          <t>V, NV</t>
        </is>
      </c>
      <c r="M71" s="6" t="inlineStr">
        <is>
          <t>BV, PT, LR, DF</t>
        </is>
      </c>
      <c r="N71" s="8">
        <f t="array" ref="N71">FALSE()</f>
        <v/>
      </c>
      <c r="O71" s="6" t="inlineStr">
        <is>
          <t>Valid only if wind &gt; 0, E if -9999</t>
        </is>
      </c>
    </row>
    <row r="72" ht="19.5" customHeight="1" s="9">
      <c r="A72" s="5" t="inlineStr">
        <is>
          <t>Compact Digital Weather Sensor</t>
        </is>
      </c>
      <c r="B72" s="6" t="inlineStr">
        <is>
          <t>ClimaVue50 G2</t>
        </is>
      </c>
      <c r="C72" s="6" t="inlineStr">
        <is>
          <t>wind_max</t>
        </is>
      </c>
      <c r="D72" s="6" t="inlineStr">
        <is>
          <t>Wind gust</t>
        </is>
      </c>
      <c r="E72" s="6" t="inlineStr">
        <is>
          <t>m/s</t>
        </is>
      </c>
      <c r="F72" s="8" t="n">
        <v>0</v>
      </c>
      <c r="G72" s="8" t="n">
        <v>60</v>
      </c>
      <c r="H72" s="8" t="n">
        <v>0</v>
      </c>
      <c r="I72" s="8" t="n">
        <v>60</v>
      </c>
      <c r="J72" s="6" t="inlineStr">
        <is>
          <t>wind</t>
        </is>
      </c>
      <c r="K72" s="6" t="inlineStr">
        <is>
          <t>R, E</t>
        </is>
      </c>
      <c r="L72" s="6" t="inlineStr">
        <is>
          <t>V, NV</t>
        </is>
      </c>
      <c r="M72" s="6" t="inlineStr">
        <is>
          <t>BV, PT, LR, DF</t>
        </is>
      </c>
      <c r="N72" s="8">
        <f t="array" ref="N72">FALSE()</f>
        <v/>
      </c>
      <c r="O72" s="6" t="inlineStr">
        <is>
          <t>G2 range 0-60 m/s; valid only if wind &gt; 0, E if -9999</t>
        </is>
      </c>
    </row>
    <row r="73" ht="19.5" customHeight="1" s="9">
      <c r="A73" s="5" t="inlineStr">
        <is>
          <t>Compact Digital Weather Sensor</t>
        </is>
      </c>
      <c r="B73" s="6" t="inlineStr">
        <is>
          <t>ClimaVue50 G2</t>
        </is>
      </c>
      <c r="C73" s="6" t="inlineStr">
        <is>
          <t>wind_max_time</t>
        </is>
      </c>
      <c r="D73" s="6" t="inlineStr">
        <is>
          <t>Time of maximum wind gust</t>
        </is>
      </c>
      <c r="E73" s="6" t="inlineStr">
        <is>
          <t>Date/Time</t>
        </is>
      </c>
      <c r="F73" s="6" t="inlineStr">
        <is>
          <t>NaN</t>
        </is>
      </c>
      <c r="G73" s="6" t="inlineStr">
        <is>
          <t>NaN</t>
        </is>
      </c>
      <c r="H73" s="6" t="inlineStr">
        <is>
          <t>NaN</t>
        </is>
      </c>
      <c r="I73" s="6" t="inlineStr">
        <is>
          <t>NaN</t>
        </is>
      </c>
      <c r="J73" s="6" t="inlineStr">
        <is>
          <t>wind</t>
        </is>
      </c>
      <c r="K73" s="6" t="inlineStr">
        <is>
          <t>E</t>
        </is>
      </c>
      <c r="L73" s="6" t="inlineStr">
        <is>
          <t>V, NV</t>
        </is>
      </c>
      <c r="M73" s="6" t="inlineStr">
        <is>
          <t>BV, PT, LR, DF</t>
        </is>
      </c>
      <c r="N73" s="8">
        <f t="array" ref="N73">FALSE()</f>
        <v/>
      </c>
      <c r="O73" s="6" t="inlineStr">
        <is>
          <t>Ensure date/time format is correct</t>
        </is>
      </c>
    </row>
    <row r="74" ht="19.5" customHeight="1" s="9">
      <c r="A74" s="5" t="inlineStr">
        <is>
          <t>Compact Digital Weather Sensor</t>
        </is>
      </c>
      <c r="B74" s="6" t="inlineStr">
        <is>
          <t>ClimaVue50 G2</t>
        </is>
      </c>
      <c r="C74" s="6" t="inlineStr">
        <is>
          <t>wind_inv</t>
        </is>
      </c>
      <c r="D74" s="6" t="inlineStr">
        <is>
          <t>Invalid wind measurement flag</t>
        </is>
      </c>
      <c r="E74" s="6" t="inlineStr">
        <is>
          <t>count</t>
        </is>
      </c>
      <c r="F74" s="8" t="n">
        <v>0</v>
      </c>
      <c r="G74" s="6" t="inlineStr">
        <is>
          <t>NaN</t>
        </is>
      </c>
      <c r="H74" s="6" t="inlineStr">
        <is>
          <t>NaN</t>
        </is>
      </c>
      <c r="I74" s="6" t="inlineStr">
        <is>
          <t>NaN</t>
        </is>
      </c>
      <c r="J74" s="6" t="inlineStr">
        <is>
          <t>wind</t>
        </is>
      </c>
      <c r="K74" s="6" t="inlineStr">
        <is>
          <t>E</t>
        </is>
      </c>
      <c r="L74" s="6" t="inlineStr">
        <is>
          <t>V</t>
        </is>
      </c>
      <c r="M74" s="6" t="inlineStr">
        <is>
          <t>BV, PT, LR</t>
        </is>
      </c>
      <c r="N74" s="8">
        <f t="array" ref="N74">FALSE()</f>
        <v/>
      </c>
      <c r="O74" s="6" t="inlineStr">
        <is>
          <t>Diagnostic counter from ultrasonic anemometer; non-zero suggests interference</t>
        </is>
      </c>
    </row>
    <row r="75" ht="19.5" customHeight="1" s="9">
      <c r="A75" s="5" t="inlineStr">
        <is>
          <t>Compact Digital Weather Sensor</t>
        </is>
      </c>
      <c r="B75" s="6" t="inlineStr">
        <is>
          <t>ClimaVue50 G2</t>
        </is>
      </c>
      <c r="C75" s="6" t="inlineStr">
        <is>
          <t>vp</t>
        </is>
      </c>
      <c r="D75" s="6" t="inlineStr">
        <is>
          <t>Vapour pressure</t>
        </is>
      </c>
      <c r="E75" s="6" t="inlineStr">
        <is>
          <t>hPa</t>
        </is>
      </c>
      <c r="F75" s="8" t="n">
        <v>0</v>
      </c>
      <c r="G75" s="8" t="n">
        <v>47</v>
      </c>
      <c r="H75" s="6" t="inlineStr">
        <is>
          <t>NaN</t>
        </is>
      </c>
      <c r="I75" s="6" t="inlineStr">
        <is>
          <t>NaN</t>
        </is>
      </c>
      <c r="J75" s="6" t="inlineStr">
        <is>
          <t>rh_tmp</t>
        </is>
      </c>
      <c r="K75" s="6" t="inlineStr">
        <is>
          <t>R, E</t>
        </is>
      </c>
      <c r="L75" s="6" t="inlineStr">
        <is>
          <t>V</t>
        </is>
      </c>
      <c r="M75" s="6" t="inlineStr">
        <is>
          <t>BV, PT, LR, DF</t>
        </is>
      </c>
      <c r="N75" s="8">
        <f t="array" ref="N75">FALSE()</f>
        <v/>
      </c>
      <c r="O75" s="6" t="inlineStr">
        <is>
          <t>E if -9999</t>
        </is>
      </c>
    </row>
    <row r="76" ht="19.5" customHeight="1" s="9">
      <c r="A76" s="5" t="inlineStr">
        <is>
          <t>Compact Digital Weather Sensor</t>
        </is>
      </c>
      <c r="B76" s="6" t="inlineStr">
        <is>
          <t>ClimaVue50 G2</t>
        </is>
      </c>
      <c r="C76" s="6" t="inlineStr">
        <is>
          <t>rh</t>
        </is>
      </c>
      <c r="D76" s="6" t="inlineStr">
        <is>
          <t>Relative humidity</t>
        </is>
      </c>
      <c r="E76" s="6" t="inlineStr">
        <is>
          <t>%</t>
        </is>
      </c>
      <c r="F76" s="8" t="n">
        <v>0</v>
      </c>
      <c r="G76" s="8" t="n">
        <v>100</v>
      </c>
      <c r="H76" s="6" t="inlineStr">
        <is>
          <t>NaN</t>
        </is>
      </c>
      <c r="I76" s="6" t="inlineStr">
        <is>
          <t>NaN</t>
        </is>
      </c>
      <c r="J76" s="6" t="inlineStr">
        <is>
          <t>vp, atmp_2m</t>
        </is>
      </c>
      <c r="K76" s="6" t="inlineStr">
        <is>
          <t>R, E</t>
        </is>
      </c>
      <c r="L76" s="6" t="inlineStr">
        <is>
          <t>V</t>
        </is>
      </c>
      <c r="M76" s="6" t="inlineStr">
        <is>
          <t>BV, PT, LR, DF, DC</t>
        </is>
      </c>
      <c r="N76" s="8">
        <f t="array" ref="N76">FALSE()</f>
        <v/>
      </c>
      <c r="O76" s="6" t="inlineStr">
        <is>
          <t>Flag DC if atmp_2m == DC, E if -9999</t>
        </is>
      </c>
    </row>
    <row r="77" ht="19.5" customHeight="1" s="9">
      <c r="A77" s="5" t="inlineStr">
        <is>
          <t>Compact Digital Weather Sensor</t>
        </is>
      </c>
      <c r="B77" s="6" t="inlineStr">
        <is>
          <t>ClimaVue50 G2</t>
        </is>
      </c>
      <c r="C77" s="6" t="inlineStr">
        <is>
          <t>bp</t>
        </is>
      </c>
      <c r="D77" s="6" t="inlineStr">
        <is>
          <t>Barometric pressure</t>
        </is>
      </c>
      <c r="E77" s="6" t="inlineStr">
        <is>
          <t>hPa</t>
        </is>
      </c>
      <c r="F77" s="8" t="n">
        <v>500</v>
      </c>
      <c r="G77" s="8" t="n">
        <v>1100</v>
      </c>
      <c r="H77" s="6" t="inlineStr">
        <is>
          <t>NaN</t>
        </is>
      </c>
      <c r="I77" s="6" t="inlineStr">
        <is>
          <t>NaN</t>
        </is>
      </c>
      <c r="J77" s="6" t="inlineStr">
        <is>
          <t>None</t>
        </is>
      </c>
      <c r="K77" s="6" t="inlineStr">
        <is>
          <t>R, E</t>
        </is>
      </c>
      <c r="L77" s="6" t="inlineStr">
        <is>
          <t>V</t>
        </is>
      </c>
      <c r="M77" s="6" t="inlineStr">
        <is>
          <t>BV, PT, LR</t>
        </is>
      </c>
      <c r="N77" s="8">
        <f t="array" ref="N77">FALSE()</f>
        <v/>
      </c>
      <c r="O77" s="6" t="inlineStr">
        <is>
          <t>E if -9999</t>
        </is>
      </c>
    </row>
    <row r="78" ht="19.5" customHeight="1" s="9">
      <c r="A78" s="5" t="inlineStr">
        <is>
          <t>Compact Digital Weather Sensor</t>
        </is>
      </c>
      <c r="B78" s="6" t="inlineStr">
        <is>
          <t>ClimaVue50 G2</t>
        </is>
      </c>
      <c r="C78" s="6" t="inlineStr">
        <is>
          <t>tilt_ns</t>
        </is>
      </c>
      <c r="D78" s="6" t="inlineStr">
        <is>
          <t>Sensor tilt N to S</t>
        </is>
      </c>
      <c r="E78" s="6" t="inlineStr">
        <is>
          <t>deg</t>
        </is>
      </c>
      <c r="F78" s="8" t="n">
        <v>-90</v>
      </c>
      <c r="G78" s="8" t="n">
        <v>90</v>
      </c>
      <c r="H78" s="8" t="n">
        <v>-3</v>
      </c>
      <c r="I78" s="8" t="n">
        <v>3</v>
      </c>
      <c r="J78" s="6" t="inlineStr">
        <is>
          <t>None</t>
        </is>
      </c>
      <c r="K78" s="6" t="inlineStr">
        <is>
          <t>R, E, C</t>
        </is>
      </c>
      <c r="L78" s="6" t="inlineStr">
        <is>
          <t>V</t>
        </is>
      </c>
      <c r="M78" s="6" t="inlineStr">
        <is>
          <t>BV, PT, LR</t>
        </is>
      </c>
      <c r="N78" s="8">
        <f t="array" ref="N78">FALSE()</f>
        <v/>
      </c>
      <c r="O78" s="6" t="inlineStr">
        <is>
          <t>E if -9999</t>
        </is>
      </c>
    </row>
    <row r="79" ht="19.5" customHeight="1" s="9">
      <c r="A79" s="5" t="inlineStr">
        <is>
          <t>Compact Digital Weather Sensor</t>
        </is>
      </c>
      <c r="B79" s="6" t="inlineStr">
        <is>
          <t>ClimaVue50 G2</t>
        </is>
      </c>
      <c r="C79" s="6" t="inlineStr">
        <is>
          <t>tilt_we</t>
        </is>
      </c>
      <c r="D79" s="6" t="inlineStr">
        <is>
          <t>Sensor tilt W to E</t>
        </is>
      </c>
      <c r="E79" s="6" t="inlineStr">
        <is>
          <t>deg</t>
        </is>
      </c>
      <c r="F79" s="8" t="n">
        <v>-90</v>
      </c>
      <c r="G79" s="8" t="n">
        <v>90</v>
      </c>
      <c r="H79" s="8" t="n">
        <v>-3</v>
      </c>
      <c r="I79" s="8" t="n">
        <v>3</v>
      </c>
      <c r="J79" s="6" t="inlineStr">
        <is>
          <t>None</t>
        </is>
      </c>
      <c r="K79" s="6" t="inlineStr">
        <is>
          <t>R, E, C</t>
        </is>
      </c>
      <c r="L79" s="6" t="inlineStr">
        <is>
          <t>V</t>
        </is>
      </c>
      <c r="M79" s="6" t="inlineStr">
        <is>
          <t>BV, PT, LR</t>
        </is>
      </c>
      <c r="N79" s="8">
        <f t="array" ref="N79">FALSE()</f>
        <v/>
      </c>
      <c r="O79" s="6" t="inlineStr">
        <is>
          <t>E if -9999</t>
        </is>
      </c>
    </row>
    <row r="80" ht="19.5" customHeight="1" s="9">
      <c r="A80" s="5" t="inlineStr">
        <is>
          <t>Compact Digital Weather Sensor</t>
        </is>
      </c>
      <c r="B80" s="6" t="inlineStr">
        <is>
          <t>ClimaVue50 G2</t>
        </is>
      </c>
      <c r="C80" s="6" t="inlineStr">
        <is>
          <t>slr_tf</t>
        </is>
      </c>
      <c r="D80" s="6" t="inlineStr">
        <is>
          <t>Total solar flux</t>
        </is>
      </c>
      <c r="E80" s="6" t="inlineStr">
        <is>
          <t>MJ</t>
        </is>
      </c>
      <c r="F80" s="8" t="n">
        <v>0</v>
      </c>
      <c r="G80" s="8" t="n">
        <v>1.575</v>
      </c>
      <c r="H80" s="8" t="n">
        <v>0</v>
      </c>
      <c r="I80" s="8" t="n">
        <v>1.215</v>
      </c>
      <c r="J80" s="6" t="inlineStr">
        <is>
          <t>slr_fd</t>
        </is>
      </c>
      <c r="K80" s="6" t="inlineStr">
        <is>
          <t>R, E, C</t>
        </is>
      </c>
      <c r="L80" s="6" t="inlineStr">
        <is>
          <t>V, Z</t>
        </is>
      </c>
      <c r="M80" s="6" t="inlineStr">
        <is>
          <t>BV, PT, LR, DC, DF</t>
        </is>
      </c>
      <c r="N80" s="8">
        <f t="array" ref="N80">FALSE()</f>
        <v/>
      </c>
      <c r="O80" s="6" t="inlineStr">
        <is>
          <t>DC flag if slr_fd == C, T, DC, E if -9999</t>
        </is>
      </c>
    </row>
    <row r="81" ht="19.5" customHeight="1" s="9">
      <c r="A81" s="5" t="inlineStr">
        <is>
          <t>Compact Digital Weather Sensor</t>
        </is>
      </c>
      <c r="B81" s="6" t="inlineStr">
        <is>
          <t>ClimaVue50 G2</t>
        </is>
      </c>
      <c r="C81" s="6" t="inlineStr">
        <is>
          <t>wind_dir_sd</t>
        </is>
      </c>
      <c r="D81" s="6" t="inlineStr">
        <is>
          <t>Standard deviation of wind direction</t>
        </is>
      </c>
      <c r="E81" s="6" t="inlineStr">
        <is>
          <t>deg</t>
        </is>
      </c>
      <c r="F81" s="6" t="inlineStr">
        <is>
          <t>NaN</t>
        </is>
      </c>
      <c r="G81" s="6" t="inlineStr">
        <is>
          <t>NaN</t>
        </is>
      </c>
      <c r="H81" s="6" t="inlineStr">
        <is>
          <t>NaN</t>
        </is>
      </c>
      <c r="I81" s="6" t="inlineStr">
        <is>
          <t>NaN</t>
        </is>
      </c>
      <c r="J81" s="6" t="inlineStr">
        <is>
          <t>wind_dir</t>
        </is>
      </c>
      <c r="K81" s="6" t="inlineStr">
        <is>
          <t>E</t>
        </is>
      </c>
      <c r="L81" s="6" t="inlineStr">
        <is>
          <t>V, NV</t>
        </is>
      </c>
      <c r="M81" s="6" t="inlineStr">
        <is>
          <t>BV, PT, LR, DF</t>
        </is>
      </c>
      <c r="N81" s="8">
        <f t="array" ref="N81">FALSE()</f>
        <v/>
      </c>
      <c r="O81" s="6" t="inlineStr">
        <is>
          <t>NV when wind == 0 (dir undefined)</t>
        </is>
      </c>
    </row>
    <row r="82" ht="19.5" customHeight="1" s="9">
      <c r="A82" s="5" t="inlineStr">
        <is>
          <t>Compact Digital Weather Sensor</t>
        </is>
      </c>
      <c r="B82" s="6" t="inlineStr">
        <is>
          <t>ClimaVue50 G2</t>
        </is>
      </c>
      <c r="C82" s="6" t="inlineStr">
        <is>
          <t>meta_cv</t>
        </is>
      </c>
      <c r="D82" s="6" t="inlineStr">
        <is>
          <t>ClimaVue metadata / diagnostic string</t>
        </is>
      </c>
      <c r="E82" s="6" t="inlineStr">
        <is>
          <t>text</t>
        </is>
      </c>
      <c r="F82" s="6" t="inlineStr">
        <is>
          <t>NaN</t>
        </is>
      </c>
      <c r="G82" s="6" t="inlineStr">
        <is>
          <t>NaN</t>
        </is>
      </c>
      <c r="H82" s="6" t="inlineStr">
        <is>
          <t>NaN</t>
        </is>
      </c>
      <c r="I82" s="6" t="inlineStr">
        <is>
          <t>NaN</t>
        </is>
      </c>
      <c r="J82" s="6" t="inlineStr">
        <is>
          <t>None</t>
        </is>
      </c>
      <c r="K82" s="6" t="inlineStr">
        <is>
          <t>E</t>
        </is>
      </c>
      <c r="L82" s="6" t="inlineStr">
        <is>
          <t>V</t>
        </is>
      </c>
      <c r="M82" s="6" t="inlineStr">
        <is>
          <t>BV, PT, LR</t>
        </is>
      </c>
      <c r="N82" s="8">
        <f t="array" ref="N82">FALSE()</f>
        <v/>
      </c>
      <c r="O82" s="6" t="inlineStr">
        <is>
          <t>Diagnostic metadata from sensor; not a numeric measurement</t>
        </is>
      </c>
    </row>
    <row r="83" ht="19.5" customHeight="1" s="9">
      <c r="A83" s="5" t="inlineStr">
        <is>
          <t>Temp and RH probe</t>
        </is>
      </c>
      <c r="B83" s="6" t="inlineStr">
        <is>
          <t>HMP45</t>
        </is>
      </c>
      <c r="C83" s="6" t="inlineStr">
        <is>
          <t>atmp</t>
        </is>
      </c>
      <c r="D83" s="6" t="inlineStr">
        <is>
          <t>Air temperature</t>
        </is>
      </c>
      <c r="E83" s="6" t="inlineStr">
        <is>
          <t>degC</t>
        </is>
      </c>
      <c r="F83" s="8" t="n">
        <v>-40</v>
      </c>
      <c r="G83" s="8" t="n">
        <v>60</v>
      </c>
      <c r="H83" s="6" t="inlineStr">
        <is>
          <t>NaN</t>
        </is>
      </c>
      <c r="I83" s="6" t="inlineStr">
        <is>
          <t>NaN</t>
        </is>
      </c>
      <c r="J83" s="6" t="inlineStr">
        <is>
          <t>None</t>
        </is>
      </c>
      <c r="K83" s="6" t="inlineStr">
        <is>
          <t>R, E</t>
        </is>
      </c>
      <c r="L83" s="6" t="inlineStr">
        <is>
          <t>V</t>
        </is>
      </c>
      <c r="M83" s="6" t="inlineStr">
        <is>
          <t>BV, PT, LR</t>
        </is>
      </c>
      <c r="N83" s="8">
        <f t="array" ref="N83">FALSE()</f>
        <v/>
      </c>
      <c r="O83" s="6" t="inlineStr">
        <is>
          <t>Vaisala HMP45 op range -40 to +60 C, E if -9999</t>
        </is>
      </c>
    </row>
    <row r="84" ht="19.5" customHeight="1" s="9">
      <c r="A84" s="5" t="inlineStr">
        <is>
          <t>Temp and RH probe</t>
        </is>
      </c>
      <c r="B84" s="6" t="inlineStr">
        <is>
          <t>HMP45</t>
        </is>
      </c>
      <c r="C84" s="6" t="inlineStr">
        <is>
          <t>rh</t>
        </is>
      </c>
      <c r="D84" s="6" t="inlineStr">
        <is>
          <t>Relative humidity</t>
        </is>
      </c>
      <c r="E84" s="6" t="inlineStr">
        <is>
          <t>%</t>
        </is>
      </c>
      <c r="F84" s="8" t="n">
        <v>0</v>
      </c>
      <c r="G84" s="8" t="n">
        <v>100</v>
      </c>
      <c r="H84" s="6" t="inlineStr">
        <is>
          <t>NaN</t>
        </is>
      </c>
      <c r="I84" s="6" t="inlineStr">
        <is>
          <t>NaN</t>
        </is>
      </c>
      <c r="J84" s="6" t="inlineStr">
        <is>
          <t>atmp</t>
        </is>
      </c>
      <c r="K84" s="6" t="inlineStr">
        <is>
          <t>R, E</t>
        </is>
      </c>
      <c r="L84" s="6" t="inlineStr">
        <is>
          <t>V</t>
        </is>
      </c>
      <c r="M84" s="6" t="inlineStr">
        <is>
          <t>BV, PT, LR, DF</t>
        </is>
      </c>
      <c r="N84" s="8">
        <f t="array" ref="N84">FALSE()</f>
        <v/>
      </c>
      <c r="O84" s="6" t="inlineStr">
        <is>
          <t>Flag DC if atmp == DC, E if -9999</t>
        </is>
      </c>
    </row>
    <row r="85" ht="19.5" customHeight="1" s="9">
      <c r="A85" s="5" t="inlineStr">
        <is>
          <t>Tipping Bucket Rain Gauge</t>
        </is>
      </c>
      <c r="B85" s="6" t="inlineStr">
        <is>
          <t>TBRG</t>
        </is>
      </c>
      <c r="C85" s="6" t="inlineStr">
        <is>
          <t>precip</t>
        </is>
      </c>
      <c r="D85" s="6" t="inlineStr">
        <is>
          <t>Total rainfall</t>
        </is>
      </c>
      <c r="E85" s="6" t="inlineStr">
        <is>
          <t>mm</t>
        </is>
      </c>
      <c r="F85" s="8" t="n">
        <v>0</v>
      </c>
      <c r="G85" s="8" t="n">
        <v>100</v>
      </c>
      <c r="H85" s="8" t="n">
        <v>0</v>
      </c>
      <c r="I85" s="8" t="n">
        <v>12.5</v>
      </c>
      <c r="J85" s="6" t="inlineStr">
        <is>
          <t>None</t>
        </is>
      </c>
      <c r="K85" s="6" t="inlineStr">
        <is>
          <t>R, E, C</t>
        </is>
      </c>
      <c r="L85" s="6" t="inlineStr">
        <is>
          <t>V</t>
        </is>
      </c>
      <c r="M85" s="6" t="inlineStr">
        <is>
          <t>BV, PT, LR</t>
        </is>
      </c>
      <c r="N85" s="8">
        <f t="array" ref="N85">FALSE()</f>
        <v/>
      </c>
      <c r="O85" s="6" t="inlineStr">
        <is>
          <t>TE525-class TBRG; accuracy drops &gt; 50 mm/hr; underestimates frozen precip without heater; op temp ~0 to +50 C, E if -9999</t>
        </is>
      </c>
    </row>
    <row r="86" ht="19.5" customHeight="1" s="9">
      <c r="A86" s="13" t="inlineStr">
        <is>
          <t>Barometer</t>
        </is>
      </c>
      <c r="B86" s="14" t="inlineStr">
        <is>
          <t>61205V</t>
        </is>
      </c>
      <c r="C86" s="14" t="inlineStr">
        <is>
          <t>bp</t>
        </is>
      </c>
      <c r="D86" s="14" t="inlineStr">
        <is>
          <t>Barometric pressure</t>
        </is>
      </c>
      <c r="E86" s="14" t="inlineStr">
        <is>
          <t>hPa</t>
        </is>
      </c>
      <c r="F86" s="15" t="n">
        <v>500</v>
      </c>
      <c r="G86" s="15" t="n">
        <v>1100</v>
      </c>
      <c r="H86" s="14" t="inlineStr">
        <is>
          <t>NaN</t>
        </is>
      </c>
      <c r="I86" s="14" t="inlineStr">
        <is>
          <t>NaN</t>
        </is>
      </c>
      <c r="J86" s="14" t="inlineStr">
        <is>
          <t>None</t>
        </is>
      </c>
      <c r="K86" s="14" t="inlineStr">
        <is>
          <t>R, E</t>
        </is>
      </c>
      <c r="L86" s="14" t="inlineStr">
        <is>
          <t>V</t>
        </is>
      </c>
      <c r="M86" s="14" t="inlineStr">
        <is>
          <t>BV, PT, LR</t>
        </is>
      </c>
      <c r="N86" s="15">
        <f t="array" ref="N86">FALSE()</f>
        <v/>
      </c>
      <c r="O86" s="14" t="inlineStr">
        <is>
          <t>RM Young 61205V range 500-1100 hPa, op temp -40 to +60 C, E if -9999</t>
        </is>
      </c>
    </row>
    <row r="87" ht="19.5" customHeight="1" s="9">
      <c r="A87" s="13" t="inlineStr">
        <is>
          <t>Snow Depth Sensor</t>
        </is>
      </c>
      <c r="B87" s="14" t="inlineStr">
        <is>
          <t>SR50A</t>
        </is>
      </c>
      <c r="C87" s="14" t="inlineStr">
        <is>
          <t>dt</t>
        </is>
      </c>
      <c r="D87" s="14" t="inlineStr">
        <is>
          <t>Distance to target</t>
        </is>
      </c>
      <c r="E87" s="14" t="inlineStr">
        <is>
          <t>cm</t>
        </is>
      </c>
      <c r="F87" s="15" t="n">
        <v>50</v>
      </c>
      <c r="G87" s="15" t="n">
        <v>1000</v>
      </c>
      <c r="H87" s="14" t="inlineStr">
        <is>
          <t>NaN</t>
        </is>
      </c>
      <c r="I87" s="14" t="inlineStr">
        <is>
          <t>NaN</t>
        </is>
      </c>
      <c r="J87" s="14" t="inlineStr">
        <is>
          <t>None</t>
        </is>
      </c>
      <c r="K87" s="14" t="inlineStr">
        <is>
          <t>R, E</t>
        </is>
      </c>
      <c r="L87" s="14" t="inlineStr">
        <is>
          <t>V, SF</t>
        </is>
      </c>
      <c r="M87" s="14" t="inlineStr">
        <is>
          <t>BV, PT, LR</t>
        </is>
      </c>
      <c r="N87" s="15">
        <f t="array" ref="N87">FALSE()</f>
        <v/>
      </c>
      <c r="O87" s="14" t="inlineStr">
        <is>
          <t>SR50A range 0.5-10 m; E if 0 (no echo detected)</t>
        </is>
      </c>
    </row>
    <row r="88" ht="19.5" customHeight="1" s="9">
      <c r="A88" s="13" t="inlineStr">
        <is>
          <t>Snow Depth Sensor</t>
        </is>
      </c>
      <c r="B88" s="14" t="inlineStr">
        <is>
          <t>SR50A</t>
        </is>
      </c>
      <c r="C88" s="14" t="inlineStr">
        <is>
          <t>q</t>
        </is>
      </c>
      <c r="D88" s="14" t="inlineStr">
        <is>
          <t>Quality number</t>
        </is>
      </c>
      <c r="E88" s="14" t="inlineStr">
        <is>
          <t>unitless</t>
        </is>
      </c>
      <c r="F88" s="15" t="n">
        <v>162</v>
      </c>
      <c r="G88" s="15" t="n">
        <v>600</v>
      </c>
      <c r="H88" s="14" t="inlineStr">
        <is>
          <t>NaN</t>
        </is>
      </c>
      <c r="I88" s="15" t="n">
        <v>210</v>
      </c>
      <c r="J88" s="14" t="inlineStr">
        <is>
          <t>dt</t>
        </is>
      </c>
      <c r="K88" s="14" t="inlineStr">
        <is>
          <t>R, C, E</t>
        </is>
      </c>
      <c r="L88" s="14" t="inlineStr">
        <is>
          <t>V, SF</t>
        </is>
      </c>
      <c r="M88" s="14" t="inlineStr">
        <is>
          <t>BV, PT, LR, DF</t>
        </is>
      </c>
      <c r="N88" s="15">
        <f t="array" ref="N88">FALSE()</f>
        <v/>
      </c>
      <c r="O88" s="14" t="inlineStr">
        <is>
          <t>E if 0, C if &gt; 210 (uncertain)</t>
        </is>
      </c>
    </row>
    <row r="89" ht="19.5" customHeight="1" s="9">
      <c r="A89" s="13" t="inlineStr">
        <is>
          <t>Snow Depth Sensor</t>
        </is>
      </c>
      <c r="B89" s="14" t="inlineStr">
        <is>
          <t>SR50A</t>
        </is>
      </c>
      <c r="C89" s="14" t="inlineStr">
        <is>
          <t>tcdt</t>
        </is>
      </c>
      <c r="D89" s="14" t="inlineStr">
        <is>
          <t>Temperature corrected distance to target</t>
        </is>
      </c>
      <c r="E89" s="14" t="inlineStr">
        <is>
          <t>cm</t>
        </is>
      </c>
      <c r="F89" s="15" t="n">
        <v>50</v>
      </c>
      <c r="G89" s="15" t="n">
        <v>1000</v>
      </c>
      <c r="H89" s="14" t="inlineStr">
        <is>
          <t>NaN</t>
        </is>
      </c>
      <c r="I89" s="14" t="inlineStr">
        <is>
          <t>NaN</t>
        </is>
      </c>
      <c r="J89" s="14" t="inlineStr">
        <is>
          <t>dt, q, atmp_2m</t>
        </is>
      </c>
      <c r="K89" s="14" t="inlineStr">
        <is>
          <t>R</t>
        </is>
      </c>
      <c r="L89" s="14" t="inlineStr">
        <is>
          <t>V, SF</t>
        </is>
      </c>
      <c r="M89" s="14" t="inlineStr">
        <is>
          <t>BV, PT, LR, DF, DC</t>
        </is>
      </c>
      <c r="N89" s="15">
        <f t="array" ref="N89">FALSE()</f>
        <v/>
      </c>
      <c r="O89" s="14" t="inlineStr">
        <is>
          <t>Flag DC if q == C or atmp_2m == DC</t>
        </is>
      </c>
    </row>
    <row r="90" ht="19.5" customHeight="1" s="9">
      <c r="A90" s="13" t="inlineStr">
        <is>
          <t>Snow Depth Sensor</t>
        </is>
      </c>
      <c r="B90" s="14" t="inlineStr">
        <is>
          <t>SR50A</t>
        </is>
      </c>
      <c r="C90" s="14" t="inlineStr">
        <is>
          <t>snow</t>
        </is>
      </c>
      <c r="D90" s="14" t="inlineStr">
        <is>
          <t>Snow depth</t>
        </is>
      </c>
      <c r="E90" s="14" t="inlineStr">
        <is>
          <t>cm</t>
        </is>
      </c>
      <c r="F90" s="15" t="n">
        <v>0</v>
      </c>
      <c r="G90" s="14" t="inlineStr">
        <is>
          <t>H-50</t>
        </is>
      </c>
      <c r="H90" s="14" t="inlineStr">
        <is>
          <t>NaN</t>
        </is>
      </c>
      <c r="I90" s="14" t="inlineStr">
        <is>
          <t>NaN</t>
        </is>
      </c>
      <c r="J90" s="14" t="inlineStr">
        <is>
          <t>tcdt</t>
        </is>
      </c>
      <c r="K90" s="14" t="inlineStr">
        <is>
          <t>R</t>
        </is>
      </c>
      <c r="L90" s="14" t="inlineStr">
        <is>
          <t>V, SF</t>
        </is>
      </c>
      <c r="M90" s="14" t="inlineStr">
        <is>
          <t>BV, PT, LR, DF, DC</t>
        </is>
      </c>
      <c r="N90" s="15">
        <f t="array" ref="N90">FALSE()</f>
        <v/>
      </c>
      <c r="O90" s="14" t="inlineStr">
        <is>
          <t>H = height of sensor, flag DC if tcdt == DC</t>
        </is>
      </c>
    </row>
    <row r="91" ht="19.5" customHeight="1" s="9">
      <c r="A91" s="13" t="inlineStr">
        <is>
          <t>Pyranometer</t>
        </is>
      </c>
      <c r="B91" s="14" t="inlineStr">
        <is>
          <t>CMP3</t>
        </is>
      </c>
      <c r="C91" s="14" t="inlineStr">
        <is>
          <t>slr_fd</t>
        </is>
      </c>
      <c r="D91" s="14" t="inlineStr">
        <is>
          <t>Solar flux density</t>
        </is>
      </c>
      <c r="E91" s="14" t="inlineStr">
        <is>
          <t>W/m^2</t>
        </is>
      </c>
      <c r="F91" s="15" t="n">
        <v>0</v>
      </c>
      <c r="G91" s="15" t="n">
        <v>2000</v>
      </c>
      <c r="H91" s="15" t="n">
        <v>0</v>
      </c>
      <c r="I91" s="15" t="n">
        <v>1360</v>
      </c>
      <c r="J91" s="14" t="inlineStr">
        <is>
          <t>None</t>
        </is>
      </c>
      <c r="K91" s="14" t="inlineStr">
        <is>
          <t>R, E, C</t>
        </is>
      </c>
      <c r="L91" s="14" t="inlineStr">
        <is>
          <t>V, Z</t>
        </is>
      </c>
      <c r="M91" s="14" t="inlineStr">
        <is>
          <t>BV, PT, LR</t>
        </is>
      </c>
      <c r="N91" s="15">
        <f t="array" ref="N91">FALSE()</f>
        <v/>
      </c>
      <c r="O91" s="14" t="inlineStr">
        <is>
          <t>Kipp &amp; Zonen CMP3 max operational irradiance 2000 W/m^2; ISO 9060 Class C; spectral range 300-2800 nm. Cmax follows existing network solar caution limit; Z if &gt;0 at night; E if -9999.</t>
        </is>
      </c>
    </row>
    <row r="92" ht="19.5" customHeight="1" s="9">
      <c r="A92" s="13" t="inlineStr">
        <is>
          <t>Pyranometer</t>
        </is>
      </c>
      <c r="B92" s="14" t="inlineStr">
        <is>
          <t>CMP3</t>
        </is>
      </c>
      <c r="C92" s="14" t="inlineStr">
        <is>
          <t>slr_fd_sd</t>
        </is>
      </c>
      <c r="D92" s="14" t="inlineStr">
        <is>
          <t>Standard deviation of solar flux density</t>
        </is>
      </c>
      <c r="E92" s="14" t="inlineStr">
        <is>
          <t>W/m^2</t>
        </is>
      </c>
      <c r="F92" s="15" t="n">
        <v>0</v>
      </c>
      <c r="G92" s="15" t="n">
        <v>2000</v>
      </c>
      <c r="H92" s="14" t="inlineStr">
        <is>
          <t>NaN</t>
        </is>
      </c>
      <c r="I92" s="14" t="inlineStr">
        <is>
          <t>NaN</t>
        </is>
      </c>
      <c r="J92" s="14" t="inlineStr">
        <is>
          <t>slr_fd</t>
        </is>
      </c>
      <c r="K92" s="14" t="inlineStr">
        <is>
          <t>R, E</t>
        </is>
      </c>
      <c r="L92" s="14" t="inlineStr">
        <is>
          <t>V</t>
        </is>
      </c>
      <c r="M92" s="14" t="inlineStr">
        <is>
          <t>BV, PT, LR, DF</t>
        </is>
      </c>
      <c r="N92" s="15">
        <f t="array" ref="N92">FALSE()</f>
        <v/>
      </c>
      <c r="O92" s="14" t="inlineStr">
        <is>
          <t>Standard deviation channel for CMP3 irradiance samples. Uses non-negative/maximum CMP3 irradiance bounds; flag DF if slr_fd is R/E/M.</t>
        </is>
      </c>
    </row>
    <row r="93" ht="19.5" customHeight="1" s="9">
      <c r="A93" s="13" t="inlineStr">
        <is>
          <t>Pyranometer</t>
        </is>
      </c>
      <c r="B93" s="14" t="inlineStr">
        <is>
          <t>CMP3</t>
        </is>
      </c>
      <c r="C93" s="14" t="inlineStr">
        <is>
          <t>slr_tf</t>
        </is>
      </c>
      <c r="D93" s="14" t="inlineStr">
        <is>
          <t>Total solar flux</t>
        </is>
      </c>
      <c r="E93" s="14" t="inlineStr">
        <is>
          <t>MJ</t>
        </is>
      </c>
      <c r="F93" s="15" t="n">
        <v>0</v>
      </c>
      <c r="G93" s="15" t="n">
        <v>1.8</v>
      </c>
      <c r="H93" s="15" t="n">
        <v>0</v>
      </c>
      <c r="I93" s="15" t="n">
        <v>1.215</v>
      </c>
      <c r="J93" s="14" t="inlineStr">
        <is>
          <t>slr_fd</t>
        </is>
      </c>
      <c r="K93" s="14" t="inlineStr">
        <is>
          <t>R, E, C</t>
        </is>
      </c>
      <c r="L93" s="14" t="inlineStr">
        <is>
          <t>V, Z</t>
        </is>
      </c>
      <c r="M93" s="14" t="inlineStr">
        <is>
          <t>BV, PT, LR, DC, DF</t>
        </is>
      </c>
      <c r="N93" s="15">
        <f t="array" ref="N93">FALSE()</f>
        <v/>
      </c>
      <c r="O93" s="14" t="inlineStr">
        <is>
          <t>15-min total derived from CMP3 slr_fd. Rmax = 2000 W/m^2 * 900 s / 1e6; Cmax follows existing network slr_tf caution limit. DC if slr_fd is C/DC, DF if slr_fd is R/E/M; Z inherited from slr_fd.</t>
        </is>
      </c>
    </row>
    <row r="94" ht="19.5" customHeight="1" s="9">
      <c r="A94" s="13" t="inlineStr">
        <is>
          <t>Data Logger</t>
        </is>
      </c>
      <c r="B94" s="14" t="inlineStr">
        <is>
          <t>CR1000</t>
        </is>
      </c>
      <c r="C94" s="14" t="inlineStr">
        <is>
          <t>battv</t>
        </is>
      </c>
      <c r="D94" s="14" t="inlineStr">
        <is>
          <t>Battery voltage</t>
        </is>
      </c>
      <c r="E94" s="14" t="inlineStr">
        <is>
          <t>V</t>
        </is>
      </c>
      <c r="F94" s="15" t="n">
        <v>9.6</v>
      </c>
      <c r="G94" s="15" t="n">
        <v>19</v>
      </c>
      <c r="H94" s="15" t="n">
        <v>10</v>
      </c>
      <c r="I94" s="15" t="n">
        <v>16</v>
      </c>
      <c r="J94" s="14" t="n"/>
      <c r="K94" s="14" t="inlineStr">
        <is>
          <t>R, C</t>
        </is>
      </c>
      <c r="L94" s="14" t="inlineStr">
        <is>
          <t>V</t>
        </is>
      </c>
      <c r="M94" s="14" t="inlineStr">
        <is>
          <t>PT, LR</t>
        </is>
      </c>
      <c r="N94" s="15">
        <f t="array" ref="N94">FALSE()</f>
        <v/>
      </c>
      <c r="O94" s="14" t="inlineStr">
        <is>
          <t>Campbell Scientific CR1000; powered by 12 Vdc supply; system suspends &lt; 9.6V; op temp -25 to +50 C standard (-55 to +85 C extended)</t>
        </is>
      </c>
    </row>
    <row r="95" ht="19.5" customHeight="1" s="9">
      <c r="A95" s="13" t="inlineStr">
        <is>
          <t>Data Logger</t>
        </is>
      </c>
      <c r="B95" s="14" t="inlineStr">
        <is>
          <t>CR1000</t>
        </is>
      </c>
      <c r="C95" s="14" t="inlineStr">
        <is>
          <t>record</t>
        </is>
      </c>
      <c r="D95" s="14" t="inlineStr">
        <is>
          <t>Observation number</t>
        </is>
      </c>
      <c r="E95" s="14" t="inlineStr">
        <is>
          <t>Integer</t>
        </is>
      </c>
      <c r="F95" s="15" t="n">
        <v>0</v>
      </c>
      <c r="G95" s="15" t="n"/>
      <c r="H95" s="15" t="n"/>
      <c r="I95" s="15" t="n"/>
      <c r="J95" s="14" t="n"/>
      <c r="K95" s="14" t="inlineStr">
        <is>
          <t>LR</t>
        </is>
      </c>
      <c r="L95" s="14" t="inlineStr">
        <is>
          <t>V</t>
        </is>
      </c>
      <c r="M95" s="14" t="inlineStr">
        <is>
          <t>BV, PT</t>
        </is>
      </c>
      <c r="N95" s="15">
        <f t="array" ref="N95">TRUE()</f>
        <v/>
      </c>
      <c r="O95" s="14" t="inlineStr">
        <is>
          <t>Logger restart indicated by RECORD sequence restart, indicating power failure or update</t>
        </is>
      </c>
    </row>
    <row r="96" ht="19.5" customHeight="1" s="9">
      <c r="A96" s="13" t="inlineStr">
        <is>
          <t>Data Logger</t>
        </is>
      </c>
      <c r="B96" s="14" t="inlineStr">
        <is>
          <t>CR1000</t>
        </is>
      </c>
      <c r="C96" s="14" t="inlineStr">
        <is>
          <t>ptmp</t>
        </is>
      </c>
      <c r="D96" s="14" t="inlineStr">
        <is>
          <t>Panel temperature</t>
        </is>
      </c>
      <c r="E96" s="14" t="inlineStr">
        <is>
          <t>degC</t>
        </is>
      </c>
      <c r="F96" s="15" t="n">
        <v>-55</v>
      </c>
      <c r="G96" s="15" t="n">
        <v>85</v>
      </c>
      <c r="H96" s="15" t="n"/>
      <c r="I96" s="15" t="n"/>
      <c r="J96" s="14" t="n"/>
      <c r="K96" s="14" t="inlineStr">
        <is>
          <t>R</t>
        </is>
      </c>
      <c r="L96" s="14" t="inlineStr">
        <is>
          <t>V</t>
        </is>
      </c>
      <c r="M96" s="14" t="inlineStr">
        <is>
          <t>BV, LR</t>
        </is>
      </c>
      <c r="N96" s="15">
        <f t="array" ref="N96">FALSE()</f>
        <v/>
      </c>
      <c r="O96" s="14" t="inlineStr">
        <is>
          <t>CR1000 panel temperature; extended operating range -55 to +85 C</t>
        </is>
      </c>
    </row>
    <row r="97" ht="19.5" customHeight="1" s="9">
      <c r="A97" s="13" t="inlineStr">
        <is>
          <t>Temp and RH probe</t>
        </is>
      </c>
      <c r="B97" s="14" t="inlineStr">
        <is>
          <t>HMP45C</t>
        </is>
      </c>
      <c r="C97" s="14" t="inlineStr">
        <is>
          <t>atmp</t>
        </is>
      </c>
      <c r="D97" s="14" t="inlineStr">
        <is>
          <t>Air temperature</t>
        </is>
      </c>
      <c r="E97" s="14" t="inlineStr">
        <is>
          <t>degC</t>
        </is>
      </c>
      <c r="F97" s="15" t="n">
        <v>-40</v>
      </c>
      <c r="G97" s="15" t="n">
        <v>60</v>
      </c>
      <c r="H97" s="15" t="n"/>
      <c r="I97" s="15" t="n"/>
      <c r="J97" s="14" t="n"/>
      <c r="K97" s="14" t="inlineStr">
        <is>
          <t>R, E</t>
        </is>
      </c>
      <c r="L97" s="14" t="inlineStr">
        <is>
          <t>V</t>
        </is>
      </c>
      <c r="M97" s="14" t="inlineStr">
        <is>
          <t>BV, PT, LR</t>
        </is>
      </c>
      <c r="N97" s="15">
        <f t="array" ref="N97">FALSE()</f>
        <v/>
      </c>
      <c r="O97" s="14" t="inlineStr">
        <is>
          <t>Vaisala HMP45C op range -40 to +60 C; Vaisala HUMICAP 180 + PRT inside 41003-5 10-plate radiation shield; E if -9999</t>
        </is>
      </c>
    </row>
    <row r="98" ht="19.5" customHeight="1" s="9">
      <c r="A98" s="13" t="inlineStr">
        <is>
          <t>Temp and RH probe</t>
        </is>
      </c>
      <c r="B98" s="14" t="inlineStr">
        <is>
          <t>HMP45C</t>
        </is>
      </c>
      <c r="C98" s="14" t="inlineStr">
        <is>
          <t>rh</t>
        </is>
      </c>
      <c r="D98" s="14" t="inlineStr">
        <is>
          <t>Relative humidity</t>
        </is>
      </c>
      <c r="E98" s="14" t="inlineStr">
        <is>
          <t>%</t>
        </is>
      </c>
      <c r="F98" s="15" t="n">
        <v>0</v>
      </c>
      <c r="G98" s="15" t="n">
        <v>100</v>
      </c>
      <c r="H98" s="15" t="n"/>
      <c r="I98" s="15" t="n"/>
      <c r="J98" s="14" t="inlineStr">
        <is>
          <t>atmp</t>
        </is>
      </c>
      <c r="K98" s="14" t="inlineStr">
        <is>
          <t>R, E</t>
        </is>
      </c>
      <c r="L98" s="14" t="inlineStr">
        <is>
          <t>V</t>
        </is>
      </c>
      <c r="M98" s="14" t="inlineStr">
        <is>
          <t>BV, PT, LR, DF</t>
        </is>
      </c>
      <c r="N98" s="15">
        <f t="array" ref="N98">FALSE()</f>
        <v/>
      </c>
      <c r="O98" s="14" t="inlineStr">
        <is>
          <t>HMP45C RH range 0-100 %; Flag DC if atmp == DC; E if -9999</t>
        </is>
      </c>
    </row>
    <row r="99" ht="19.5" customHeight="1" s="9">
      <c r="A99" s="13" t="inlineStr">
        <is>
          <t>Tipping Bucket Rain Gauge</t>
        </is>
      </c>
      <c r="B99" s="14" t="inlineStr">
        <is>
          <t>TE525USW</t>
        </is>
      </c>
      <c r="C99" s="14" t="inlineStr">
        <is>
          <t>precip</t>
        </is>
      </c>
      <c r="D99" s="14" t="inlineStr">
        <is>
          <t>Total rainfall</t>
        </is>
      </c>
      <c r="E99" s="14" t="inlineStr">
        <is>
          <t>mm</t>
        </is>
      </c>
      <c r="F99" s="15" t="n">
        <v>0</v>
      </c>
      <c r="G99" s="15" t="n">
        <v>100</v>
      </c>
      <c r="H99" s="15" t="n">
        <v>0</v>
      </c>
      <c r="I99" s="15" t="n">
        <v>12.5</v>
      </c>
      <c r="J99" s="14" t="n"/>
      <c r="K99" s="14" t="inlineStr">
        <is>
          <t>R, E, C</t>
        </is>
      </c>
      <c r="L99" s="14" t="inlineStr">
        <is>
          <t>V</t>
        </is>
      </c>
      <c r="M99" s="14" t="inlineStr">
        <is>
          <t>BV, PT, LR</t>
        </is>
      </c>
      <c r="N99" s="15">
        <f t="array" ref="N99">FALSE()</f>
        <v/>
      </c>
      <c r="O99" s="14" t="inlineStr">
        <is>
          <t>Texas Electronics TE525USW 8 in. orifice tipping bucket; 0.01 in. (0.254 mm) resolution; accuracy +/-1% up to 25 mm/hr, drops above ~50 mm/hr; no heater (under-measures frozen precip); op temp 0 to +50 C; E if -9999</t>
        </is>
      </c>
    </row>
    <row r="100" ht="19.5" customHeight="1" s="9">
      <c r="A100" s="13" t="inlineStr">
        <is>
          <t>Temperature Probe</t>
        </is>
      </c>
      <c r="B100" s="14" t="inlineStr">
        <is>
          <t>109B</t>
        </is>
      </c>
      <c r="C100" s="14" t="inlineStr">
        <is>
          <t>gtmp</t>
        </is>
      </c>
      <c r="D100" s="14" t="inlineStr">
        <is>
          <t>Ground temperature</t>
        </is>
      </c>
      <c r="E100" s="14" t="inlineStr">
        <is>
          <t>degC</t>
        </is>
      </c>
      <c r="F100" s="15" t="n">
        <v>-50</v>
      </c>
      <c r="G100" s="15" t="n">
        <v>70</v>
      </c>
      <c r="H100" s="15" t="n"/>
      <c r="I100" s="15" t="n"/>
      <c r="J100" s="14" t="n"/>
      <c r="K100" s="14" t="inlineStr">
        <is>
          <t>R</t>
        </is>
      </c>
      <c r="L100" s="14" t="inlineStr">
        <is>
          <t>V</t>
        </is>
      </c>
      <c r="M100" s="14" t="inlineStr">
        <is>
          <t>BV, PT, LR</t>
        </is>
      </c>
      <c r="N100" s="15">
        <f t="array" ref="N100">FALSE()</f>
        <v/>
      </c>
      <c r="O100" s="14" t="inlineStr">
        <is>
          <t>Campbell Scientific 109B thermistor probe; -50 to +70 C; +/-0.1 C from 0 to 70 C, +/-0.2 C from -50 to 0 C</t>
        </is>
      </c>
    </row>
    <row r="101" ht="19.5" customHeight="1" s="9">
      <c r="A101" s="13" t="inlineStr">
        <is>
          <t>Temperature Probe</t>
        </is>
      </c>
      <c r="B101" s="14" t="inlineStr">
        <is>
          <t>109B</t>
        </is>
      </c>
      <c r="C101" s="14" t="inlineStr">
        <is>
          <t>atmp</t>
        </is>
      </c>
      <c r="D101" s="14" t="inlineStr">
        <is>
          <t>Air temperature</t>
        </is>
      </c>
      <c r="E101" s="14" t="inlineStr">
        <is>
          <t>degC</t>
        </is>
      </c>
      <c r="F101" s="15" t="n">
        <v>-50</v>
      </c>
      <c r="G101" s="15" t="n">
        <v>70</v>
      </c>
      <c r="H101" s="15" t="n"/>
      <c r="I101" s="15" t="n"/>
      <c r="J101" s="14" t="n"/>
      <c r="K101" s="14" t="inlineStr">
        <is>
          <t>R</t>
        </is>
      </c>
      <c r="L101" s="14" t="inlineStr">
        <is>
          <t>V</t>
        </is>
      </c>
      <c r="M101" s="14" t="inlineStr">
        <is>
          <t>BV, PT, LR</t>
        </is>
      </c>
      <c r="N101" s="15">
        <f t="array" ref="N101">FALSE()</f>
        <v/>
      </c>
      <c r="O101" s="14" t="inlineStr">
        <is>
          <t>Campbell Scientific 109B used as air-temp probe; -50 to +70 C; requires radiation shield for accurate air-temp</t>
        </is>
      </c>
    </row>
  </sheetData>
  <mergeCells count="1">
    <mergeCell ref="A1:O1"/>
  </mergeCells>
  <pageMargins left="1" right="1" top="1" bottom="1" header="0.511811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2026-05-20T19:07:44Z</dcterms:created>
  <dcterms:modified xmlns:dcterms="http://purl.org/dc/terms/" xmlns:xsi="http://www.w3.org/2001/XMLSchema-instance" xsi:type="dcterms:W3CDTF">2026-05-20T19:07:44Z</dcterms:modified>
</cp:coreProperties>
</file>